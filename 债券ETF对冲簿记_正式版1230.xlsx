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360" activeTab="1"/>
  </bookViews>
  <sheets>
    <sheet name="511260簿记" sheetId="2" r:id="rId1"/>
    <sheet name="债基对冲端" sheetId="1" r:id="rId2"/>
    <sheet name="科创债对接" sheetId="4" r:id="rId3"/>
    <sheet name="补券规则" sheetId="3" r:id="rId4"/>
    <sheet name="科创债券池" sheetId="6" r:id="rId5"/>
    <sheet name="A500" sheetId="5" r:id="rId6"/>
    <sheet name="科创债ETF" sheetId="7" r:id="rId7"/>
    <sheet name="用资划转记录" sheetId="8" r:id="rId8"/>
    <sheet name="REITs" sheetId="9" r:id="rId9"/>
    <sheet name="科创债" sheetId="10" r:id="rId10"/>
    <sheet name="data" sheetId="11" r:id="rId11"/>
    <sheet name="Sheet1" sheetId="12" r:id="rId12"/>
    <sheet name="Sheet2" sheetId="13" r:id="rId13"/>
  </sheets>
  <externalReferences>
    <externalReference r:id="rId14"/>
  </externalReferences>
  <definedNames>
    <definedName name="_xlnm._FilterDatabase" localSheetId="0" hidden="1">'511260簿记'!$A$1:$Z$21</definedName>
    <definedName name="_xlnm._FilterDatabase" localSheetId="7" hidden="1">用资划转记录!$A$1:$P$12</definedName>
    <definedName name="_xlnm._FilterDatabase" localSheetId="1" hidden="1">债基对冲端!$A$1:$AL$50</definedName>
    <definedName name="_xlnm._FilterDatabase" localSheetId="4" hidden="1">科创债券池!$A$1:$J$5</definedName>
  </definedNames>
  <calcPr calcId="144525"/>
</workbook>
</file>

<file path=xl/sharedStrings.xml><?xml version="1.0" encoding="utf-8"?>
<sst xmlns="http://schemas.openxmlformats.org/spreadsheetml/2006/main" count="1134" uniqueCount="500">
  <si>
    <t>code</t>
  </si>
  <si>
    <t>申赎方向</t>
  </si>
  <si>
    <t>deal_no</t>
  </si>
  <si>
    <t>自算资金变化</t>
  </si>
  <si>
    <t>成交表资金变化</t>
  </si>
  <si>
    <t>清算表资金变化</t>
  </si>
  <si>
    <t>现金差额退补款(在途)</t>
  </si>
  <si>
    <t>现金差额退补款(到账)</t>
  </si>
  <si>
    <t>股票交易成本</t>
  </si>
  <si>
    <t>股票交账成本</t>
  </si>
  <si>
    <t>跨市场现金退补款(在途)</t>
  </si>
  <si>
    <t>本市场现金退补款(在途)</t>
  </si>
  <si>
    <t>跨市场现金退补款(到账)</t>
  </si>
  <si>
    <t>本市场现金退补款(到账)</t>
  </si>
  <si>
    <t>申赎量</t>
  </si>
  <si>
    <t>未识别现金替代退补款(到账)</t>
  </si>
  <si>
    <t>预估股票交易成本</t>
  </si>
  <si>
    <t>预计回款笔数</t>
  </si>
  <si>
    <t>实际回款笔数</t>
  </si>
  <si>
    <t>预估成本</t>
  </si>
  <si>
    <t>自算资金变化_本市场_允许</t>
  </si>
  <si>
    <t>自算资金变化_本市场_必须</t>
  </si>
  <si>
    <t>自算资金变化_跨市场_允许</t>
  </si>
  <si>
    <t>自算资金变化_跨市场_必须</t>
  </si>
  <si>
    <t>基金类型</t>
  </si>
  <si>
    <t>是否回款完成</t>
  </si>
  <si>
    <t>511260</t>
  </si>
  <si>
    <t>26</t>
  </si>
  <si>
    <t>12000281433</t>
  </si>
  <si>
    <t>非跨境</t>
  </si>
  <si>
    <t>12000285290</t>
  </si>
  <si>
    <t>12000287332</t>
  </si>
  <si>
    <t>12000287596</t>
  </si>
  <si>
    <t>12000288376</t>
  </si>
  <si>
    <t>12000288720</t>
  </si>
  <si>
    <t>12000288995</t>
  </si>
  <si>
    <t>12000395351</t>
  </si>
  <si>
    <t>12000395687</t>
  </si>
  <si>
    <t>12000395911</t>
  </si>
  <si>
    <t>12000396272</t>
  </si>
  <si>
    <t>12000396446</t>
  </si>
  <si>
    <t>12000396537</t>
  </si>
  <si>
    <t>12000396608</t>
  </si>
  <si>
    <t>12000396759</t>
  </si>
  <si>
    <t>12000443862</t>
  </si>
  <si>
    <t>12000444518</t>
  </si>
  <si>
    <t>12000444591</t>
  </si>
  <si>
    <t>12000444602</t>
  </si>
  <si>
    <t>12000444715</t>
  </si>
  <si>
    <t>标的代码</t>
  </si>
  <si>
    <t>金额</t>
  </si>
  <si>
    <t>申购价格</t>
  </si>
  <si>
    <t>簿记数量</t>
  </si>
  <si>
    <t>年化增强</t>
  </si>
  <si>
    <t>收盘价</t>
  </si>
  <si>
    <t>损益</t>
  </si>
  <si>
    <t>申购数量</t>
  </si>
  <si>
    <t>买入数量</t>
  </si>
  <si>
    <t>卖出数量</t>
  </si>
  <si>
    <t>证券代码</t>
  </si>
  <si>
    <t>证券名称</t>
  </si>
  <si>
    <t>委托方向</t>
  </si>
  <si>
    <t>最新价</t>
  </si>
  <si>
    <t>市场成交均价</t>
  </si>
  <si>
    <t>成交数量</t>
  </si>
  <si>
    <t>成交金额</t>
  </si>
  <si>
    <t>成交次数</t>
  </si>
  <si>
    <t>成交最低价</t>
  </si>
  <si>
    <t>成交最高价</t>
  </si>
  <si>
    <t>成交均价</t>
  </si>
  <si>
    <t>成交均价(全价)</t>
  </si>
  <si>
    <t>十年国债</t>
  </si>
  <si>
    <t>买入</t>
  </si>
  <si>
    <t>卖出</t>
  </si>
  <si>
    <t>基金简称</t>
  </si>
  <si>
    <t>合作方</t>
  </si>
  <si>
    <t>price</t>
  </si>
  <si>
    <t>qty</t>
  </si>
  <si>
    <t>mv</t>
  </si>
  <si>
    <t>开始日</t>
  </si>
  <si>
    <t>结束日</t>
  </si>
  <si>
    <t>今日</t>
  </si>
  <si>
    <t>mv'</t>
  </si>
  <si>
    <t>增强年化</t>
  </si>
  <si>
    <t>存续金额</t>
  </si>
  <si>
    <t>start_date</t>
  </si>
  <si>
    <t>today</t>
  </si>
  <si>
    <t>pnl</t>
  </si>
  <si>
    <t>增强损益</t>
  </si>
  <si>
    <t>合作对价</t>
  </si>
  <si>
    <t>实现佣金收入</t>
  </si>
  <si>
    <t>预估佣金收入</t>
  </si>
  <si>
    <t>预估支付增强收益</t>
  </si>
  <si>
    <r>
      <rPr>
        <sz val="11"/>
        <color theme="1"/>
        <rFont val="宋体"/>
        <charset val="134"/>
        <scheme val="minor"/>
      </rPr>
      <t>511200</t>
    </r>
    <r>
      <rPr>
        <sz val="11"/>
        <color theme="1"/>
        <rFont val="宋体"/>
        <charset val="134"/>
        <scheme val="minor"/>
      </rPr>
      <t>.SH</t>
    </r>
  </si>
  <si>
    <t>华夏信用债</t>
  </si>
  <si>
    <t>结构化交易组</t>
  </si>
  <si>
    <r>
      <rPr>
        <sz val="11"/>
        <color theme="1"/>
        <rFont val="宋体"/>
        <charset val="134"/>
        <scheme val="minor"/>
      </rPr>
      <t>159396</t>
    </r>
    <r>
      <rPr>
        <sz val="11"/>
        <color theme="1"/>
        <rFont val="宋体"/>
        <charset val="134"/>
        <scheme val="minor"/>
      </rPr>
      <t>.SZ</t>
    </r>
  </si>
  <si>
    <t>博时信用债</t>
  </si>
  <si>
    <t>上证基准做市公司债指数</t>
  </si>
  <si>
    <r>
      <rPr>
        <sz val="11"/>
        <color theme="1"/>
        <rFont val="宋体"/>
        <charset val="134"/>
        <scheme val="minor"/>
      </rPr>
      <t>511200.</t>
    </r>
    <r>
      <rPr>
        <sz val="11"/>
        <color theme="1"/>
        <rFont val="宋体"/>
        <charset val="134"/>
        <scheme val="minor"/>
      </rPr>
      <t>SH</t>
    </r>
  </si>
  <si>
    <t>多资产组</t>
  </si>
  <si>
    <t>511260.SH</t>
  </si>
  <si>
    <t>国泰十年债</t>
  </si>
  <si>
    <t>551030.SH</t>
  </si>
  <si>
    <t>科创债ETF鹏华</t>
  </si>
  <si>
    <t>551550.SH</t>
  </si>
  <si>
    <t>科创债ETF华夏</t>
  </si>
  <si>
    <t>159600.SZ</t>
  </si>
  <si>
    <t>科创债ETF嘉实</t>
  </si>
  <si>
    <t>551900.SH</t>
  </si>
  <si>
    <t>科创债ETF招商</t>
  </si>
  <si>
    <t>159397.SZ</t>
  </si>
  <si>
    <t>信用债ETF广发</t>
  </si>
  <si>
    <t>551300.SZ</t>
  </si>
  <si>
    <t>科创债ETF摩根</t>
  </si>
  <si>
    <t>159116.SZ</t>
  </si>
  <si>
    <t>科创债ETF工银</t>
  </si>
  <si>
    <t>551800.SH</t>
  </si>
  <si>
    <t>科创债ETF国泰</t>
  </si>
  <si>
    <t>提前了结</t>
  </si>
  <si>
    <t>551060.SH</t>
  </si>
  <si>
    <t>科创债ETF中银</t>
  </si>
  <si>
    <t>5_new</t>
  </si>
  <si>
    <t>13_new</t>
  </si>
  <si>
    <t>14_new</t>
  </si>
  <si>
    <t>6_new</t>
  </si>
  <si>
    <t>7_new</t>
  </si>
  <si>
    <t>8_new</t>
  </si>
  <si>
    <t>10_new</t>
  </si>
  <si>
    <t>15_new</t>
  </si>
  <si>
    <t>10_new'</t>
  </si>
  <si>
    <t>511100.SH</t>
  </si>
  <si>
    <t>华夏基准国债</t>
  </si>
  <si>
    <t>159400.SZ</t>
  </si>
  <si>
    <t>景顺科创债ETF</t>
  </si>
  <si>
    <t>嘉实科创债ETF</t>
  </si>
  <si>
    <t>绝对0.2%</t>
  </si>
  <si>
    <t>续期</t>
  </si>
  <si>
    <t>质押测算</t>
  </si>
  <si>
    <t>标准券折算比例</t>
  </si>
  <si>
    <t>质押价格</t>
  </si>
  <si>
    <t>工银</t>
  </si>
  <si>
    <t>中银</t>
  </si>
  <si>
    <t>国泰</t>
  </si>
  <si>
    <t>f</t>
  </si>
  <si>
    <t>序号</t>
  </si>
  <si>
    <t>基金公司</t>
  </si>
  <si>
    <t>上市地点</t>
  </si>
  <si>
    <t>跟踪指数</t>
  </si>
  <si>
    <t>对接情况</t>
  </si>
  <si>
    <t>公司方面对接</t>
  </si>
  <si>
    <t>尚为覆盖</t>
  </si>
  <si>
    <t>拟做市</t>
  </si>
  <si>
    <t>确定做市</t>
  </si>
  <si>
    <t>做市额度</t>
  </si>
  <si>
    <t>首发额度</t>
  </si>
  <si>
    <t>total持仓</t>
  </si>
  <si>
    <t>商议额度（当前进展）</t>
  </si>
  <si>
    <t>报备</t>
  </si>
  <si>
    <t>易方达基金</t>
  </si>
  <si>
    <t>上交所</t>
  </si>
  <si>
    <t>中证AAA科技创新公司债指数</t>
  </si>
  <si>
    <t>√</t>
  </si>
  <si>
    <t>博时基金</t>
  </si>
  <si>
    <t>做市需求，2e额度，希望和固收对接</t>
  </si>
  <si>
    <t>广发基金</t>
  </si>
  <si>
    <t>上证AAA科技创新公司债指数</t>
  </si>
  <si>
    <t>对接，底层券认购</t>
  </si>
  <si>
    <t>底层券沟通中</t>
  </si>
  <si>
    <t>简称</t>
  </si>
  <si>
    <t>认购金额</t>
  </si>
  <si>
    <t>全称</t>
  </si>
  <si>
    <t>招商基金</t>
  </si>
  <si>
    <t>合作1e，希望和固收领导对接</t>
  </si>
  <si>
    <t>1e</t>
  </si>
  <si>
    <t>招商中证AAA科技创新公司债ETF</t>
  </si>
  <si>
    <t>鹏华基金</t>
  </si>
  <si>
    <t>对接</t>
  </si>
  <si>
    <r>
      <rPr>
        <sz val="11"/>
        <color rgb="FF9C5700"/>
        <rFont val="宋体"/>
        <charset val="134"/>
        <scheme val="minor"/>
      </rPr>
      <t>2</t>
    </r>
    <r>
      <rPr>
        <sz val="11"/>
        <color rgb="FF9C5700"/>
        <rFont val="宋体"/>
        <charset val="134"/>
        <scheme val="minor"/>
      </rPr>
      <t>000w</t>
    </r>
  </si>
  <si>
    <t>6000w</t>
  </si>
  <si>
    <t>2000w</t>
  </si>
  <si>
    <t>参与竞标中,3倍认购，上市追加</t>
  </si>
  <si>
    <t>鹏华上证AAA科创债ETF</t>
  </si>
  <si>
    <t>华夏基金</t>
  </si>
  <si>
    <t>与我部对接，还需要更多资金，希望见固收</t>
  </si>
  <si>
    <t>5000w</t>
  </si>
  <si>
    <t>1.5e</t>
  </si>
  <si>
    <t>5000w,首发1.5e支持</t>
  </si>
  <si>
    <t>华夏中证AAA科技创新公司债ETF</t>
  </si>
  <si>
    <t>嘉实基金</t>
  </si>
  <si>
    <t>深交所</t>
  </si>
  <si>
    <t>深证AAA科技创新公司债指数</t>
  </si>
  <si>
    <t>√√</t>
  </si>
  <si>
    <t>1e,费率2.5%，2倍换手</t>
  </si>
  <si>
    <t>嘉实中证AAA科技创新公司债ETF</t>
  </si>
  <si>
    <t>富国基金</t>
  </si>
  <si>
    <t>南方基金</t>
  </si>
  <si>
    <t>可能会和固收合作</t>
  </si>
  <si>
    <t>景顺长城基金</t>
  </si>
  <si>
    <t xml:space="preserve">中证AAA科技创新公司债指数 </t>
  </si>
  <si>
    <t>银华</t>
  </si>
  <si>
    <t>天弘</t>
  </si>
  <si>
    <t>大成</t>
  </si>
  <si>
    <t>华安</t>
  </si>
  <si>
    <t>汇添富</t>
  </si>
  <si>
    <t>华泰柏瑞</t>
  </si>
  <si>
    <t>永赢</t>
  </si>
  <si>
    <t>平安</t>
  </si>
  <si>
    <t>中银基金</t>
  </si>
  <si>
    <t>工银基金</t>
  </si>
  <si>
    <t>国泰基金</t>
  </si>
  <si>
    <t>具体补券规则</t>
  </si>
  <si>
    <t>问了一下，申购当天按照收盘价结算。但是有退补款，T+1补券，有手工补券有强补，强补是当天银行间债券估值全价。运营跟我这么说的。</t>
  </si>
  <si>
    <t>申购日期</t>
  </si>
  <si>
    <t>净值</t>
  </si>
  <si>
    <t>实际补券价格</t>
  </si>
  <si>
    <t>代码</t>
  </si>
  <si>
    <t>债券名称</t>
  </si>
  <si>
    <t>发行主体</t>
  </si>
  <si>
    <t>存续规模（亿元）</t>
  </si>
  <si>
    <t>剩余期限（年）</t>
  </si>
  <si>
    <t>中证估值</t>
  </si>
  <si>
    <t>交易日期</t>
  </si>
  <si>
    <t>242253.SH</t>
  </si>
  <si>
    <t>25京资K1</t>
  </si>
  <si>
    <t>北京市国有资产经营有限责任公司</t>
  </si>
  <si>
    <t>招商</t>
  </si>
  <si>
    <t>上市后</t>
  </si>
  <si>
    <t>240025.SH</t>
  </si>
  <si>
    <t>核建YK01</t>
  </si>
  <si>
    <t>中国核工业建设股份有限公司</t>
  </si>
  <si>
    <t>鹏华</t>
  </si>
  <si>
    <t>周五</t>
  </si>
  <si>
    <t>240213.SH</t>
  </si>
  <si>
    <t>23鲁高K2</t>
  </si>
  <si>
    <t>山东高速集团有限公司</t>
  </si>
  <si>
    <t>115663.SH</t>
  </si>
  <si>
    <t>建工KY06</t>
  </si>
  <si>
    <t>北京建工集团有限责任公司</t>
  </si>
  <si>
    <t>广发</t>
  </si>
  <si>
    <t>下周一</t>
  </si>
  <si>
    <t>2025/9/30目标仓位</t>
  </si>
  <si>
    <t>备注</t>
  </si>
  <si>
    <t>华柏</t>
  </si>
  <si>
    <t>7000+5000</t>
  </si>
  <si>
    <t>华夏</t>
  </si>
  <si>
    <t>富国</t>
  </si>
  <si>
    <t>南方</t>
  </si>
  <si>
    <t>名称</t>
  </si>
  <si>
    <t>上市日期</t>
  </si>
  <si>
    <t>上市交易份额(万)</t>
  </si>
  <si>
    <t>上市前一日净值</t>
  </si>
  <si>
    <t>持有人户数</t>
  </si>
  <si>
    <t>2025-07-17</t>
  </si>
  <si>
    <t>551000.SH</t>
  </si>
  <si>
    <t>博时上证AAA科创债ETF</t>
  </si>
  <si>
    <t>551500.SH</t>
  </si>
  <si>
    <t>易方达中证AAA科技创新公司债ETF</t>
  </si>
  <si>
    <t>159200.SZ</t>
  </si>
  <si>
    <t>富国中证AAA科技创新公司债ETF</t>
  </si>
  <si>
    <t>景顺长城深证AAA科技创新公司债ETF</t>
  </si>
  <si>
    <t>159700.SZ</t>
  </si>
  <si>
    <t>南方中证AAA科技创新公司债ETF</t>
  </si>
  <si>
    <t>511120.SH</t>
  </si>
  <si>
    <t>广发上证AAA科技创新公司债ETF</t>
  </si>
  <si>
    <t>截止日</t>
  </si>
  <si>
    <t>金额（万）</t>
  </si>
  <si>
    <t>是否报备</t>
  </si>
  <si>
    <t>申请日期</t>
  </si>
  <si>
    <t>基金</t>
  </si>
  <si>
    <t>交易所</t>
  </si>
  <si>
    <t>状态</t>
  </si>
  <si>
    <t>做市商类型</t>
  </si>
  <si>
    <t>跟踪基准</t>
  </si>
  <si>
    <t>风格分类</t>
  </si>
  <si>
    <t>是否跨境</t>
  </si>
  <si>
    <t>交易员分类1</t>
  </si>
  <si>
    <t>是</t>
  </si>
  <si>
    <t>浙江杭徽</t>
  </si>
  <si>
    <t>浙商资管</t>
  </si>
  <si>
    <t>一般</t>
  </si>
  <si>
    <t>REITs</t>
  </si>
  <si>
    <t>否</t>
  </si>
  <si>
    <t>中关村</t>
  </si>
  <si>
    <t>建信基金</t>
  </si>
  <si>
    <t>华润有巢</t>
  </si>
  <si>
    <t>国家电投</t>
  </si>
  <si>
    <t>中信建投基金</t>
  </si>
  <si>
    <t>主</t>
  </si>
  <si>
    <t>华夏华润商业REIT</t>
  </si>
  <si>
    <t>不区分</t>
  </si>
  <si>
    <t>金茂商业</t>
  </si>
  <si>
    <t>明阳REIT</t>
  </si>
  <si>
    <t>首创奥莱</t>
  </si>
  <si>
    <t>华夏大悦城商业REIT</t>
  </si>
  <si>
    <t>南京交通</t>
  </si>
  <si>
    <t>外高REIT</t>
  </si>
  <si>
    <t>华安基金</t>
  </si>
  <si>
    <t>易方达华威市场REIT</t>
  </si>
  <si>
    <t>已上市</t>
  </si>
  <si>
    <t>地产租住</t>
  </si>
  <si>
    <t>汇添富基金</t>
  </si>
  <si>
    <t>恒泰租住</t>
  </si>
  <si>
    <t>华泰证券资管</t>
  </si>
  <si>
    <t>北京亦庄</t>
  </si>
  <si>
    <t>中金基金</t>
  </si>
  <si>
    <t>中金中国绿发商业REIT</t>
  </si>
  <si>
    <t>创金合信首农REIT</t>
  </si>
  <si>
    <t>创金合信</t>
  </si>
  <si>
    <t>待做市</t>
  </si>
  <si>
    <t>华夏华电清洁能源REIT</t>
  </si>
  <si>
    <t>南方顺丰物流REIT</t>
  </si>
  <si>
    <t>公司</t>
  </si>
  <si>
    <t>市场</t>
  </si>
  <si>
    <t>久期</t>
  </si>
  <si>
    <t>仓位</t>
  </si>
  <si>
    <t>额度</t>
  </si>
  <si>
    <t>跟踪指数名称</t>
  </si>
  <si>
    <t>持有支持</t>
  </si>
  <si>
    <t>首发支持</t>
  </si>
  <si>
    <t>成交额</t>
  </si>
  <si>
    <t>补券时间</t>
  </si>
  <si>
    <t>摩根</t>
  </si>
  <si>
    <t>551300.SH</t>
  </si>
  <si>
    <t>单市场</t>
  </si>
  <si>
    <t>跨市场</t>
  </si>
  <si>
    <t>T+2日日末估值</t>
  </si>
  <si>
    <t>5至8倍</t>
  </si>
  <si>
    <t>固收</t>
  </si>
  <si>
    <t>永赢基金</t>
  </si>
  <si>
    <t>511150.SH</t>
  </si>
  <si>
    <t>泰康基金</t>
  </si>
  <si>
    <t>551580.SH</t>
  </si>
  <si>
    <t>银华基金</t>
  </si>
  <si>
    <t>159112.SZ</t>
  </si>
  <si>
    <t>b</t>
  </si>
  <si>
    <t>类型</t>
  </si>
  <si>
    <t>现价</t>
  </si>
  <si>
    <t>涨跌</t>
  </si>
  <si>
    <t>涨跌幅</t>
  </si>
  <si>
    <t>溢折率</t>
  </si>
  <si>
    <t>换手率</t>
  </si>
  <si>
    <t>5日涨跌幅</t>
  </si>
  <si>
    <t>年初至今</t>
  </si>
  <si>
    <t>基金份额</t>
  </si>
  <si>
    <t>估算规模</t>
  </si>
  <si>
    <t>规模变化</t>
  </si>
  <si>
    <t>管理公司</t>
  </si>
  <si>
    <t>年初至今份额变动</t>
  </si>
  <si>
    <t>年初至今份额变动率</t>
  </si>
  <si>
    <t>IOPV</t>
  </si>
  <si>
    <t>跟踪指数代码</t>
  </si>
  <si>
    <t>市盈率</t>
  </si>
  <si>
    <t>市净率</t>
  </si>
  <si>
    <t>上市地</t>
  </si>
  <si>
    <t>511270.SH</t>
  </si>
  <si>
    <t>债</t>
  </si>
  <si>
    <t>10年地方债ETF</t>
  </si>
  <si>
    <t>海富通基金</t>
  </si>
  <si>
    <t>h40109.SH</t>
  </si>
  <si>
    <t>上证10年地债(净)</t>
  </si>
  <si>
    <t>上海证券交易所</t>
  </si>
  <si>
    <t>511060.SH</t>
  </si>
  <si>
    <t>5年地方债ETF</t>
  </si>
  <si>
    <t>h40045.CSI</t>
  </si>
  <si>
    <t>上证5年期地债(净)</t>
  </si>
  <si>
    <t>511220.SH</t>
  </si>
  <si>
    <t>城投债ETF</t>
  </si>
  <si>
    <t>h11098.SH</t>
  </si>
  <si>
    <t>沪城投债</t>
  </si>
  <si>
    <t>511360.SH</t>
  </si>
  <si>
    <t>短融ETF</t>
  </si>
  <si>
    <t>h11014.CSI</t>
  </si>
  <si>
    <t>中证短融</t>
  </si>
  <si>
    <t>十年国债ETF</t>
  </si>
  <si>
    <t>h01077.SH</t>
  </si>
  <si>
    <t>上证10年国债(净)</t>
  </si>
  <si>
    <t>511030.SH</t>
  </si>
  <si>
    <t>公司债ETF</t>
  </si>
  <si>
    <t>平安基金</t>
  </si>
  <si>
    <t>CBC00702.CS</t>
  </si>
  <si>
    <t>中债-中高等级公司债利差因子净价(总值)指数</t>
  </si>
  <si>
    <t>511090.SH</t>
  </si>
  <si>
    <t>30年国债ETF</t>
  </si>
  <si>
    <t>鹏扬基金</t>
  </si>
  <si>
    <t>CBA21801.CS</t>
  </si>
  <si>
    <t>中债-30年期国债财富(总值)指数</t>
  </si>
  <si>
    <t>159650.SZ</t>
  </si>
  <si>
    <t>国开ETF</t>
  </si>
  <si>
    <t>CBA11901.CS</t>
  </si>
  <si>
    <t>中债-0-3年国开行债券财富(总值)指数</t>
  </si>
  <si>
    <t>深圳证券交易所</t>
  </si>
  <si>
    <t>159651.SZ</t>
  </si>
  <si>
    <t>国开债券ETF</t>
  </si>
  <si>
    <t>159649.SZ</t>
  </si>
  <si>
    <t>国开债ETF</t>
  </si>
  <si>
    <t>CBA08301.CS</t>
  </si>
  <si>
    <t>中债-1-5年国开行债券财富(总值)指数</t>
  </si>
  <si>
    <t>511520.SH</t>
  </si>
  <si>
    <t>政金债券ETF</t>
  </si>
  <si>
    <t>CBA08203.CS</t>
  </si>
  <si>
    <t>中债-7-10年政策性金融债全价(总值)指数</t>
  </si>
  <si>
    <t>511200.SH</t>
  </si>
  <si>
    <t>信用债ETF基金</t>
  </si>
  <si>
    <t>950245.CSI</t>
  </si>
  <si>
    <t>沪做市公司债</t>
  </si>
  <si>
    <t>511070.SH</t>
  </si>
  <si>
    <t>上证公司债ETF</t>
  </si>
  <si>
    <t>511110.SH</t>
  </si>
  <si>
    <t>公司债ETF易方达</t>
  </si>
  <si>
    <t>511190.SH</t>
  </si>
  <si>
    <t>信用债ETF</t>
  </si>
  <si>
    <t>基准国债ETF</t>
  </si>
  <si>
    <t>950243.CSI</t>
  </si>
  <si>
    <t>沪做市国债</t>
  </si>
  <si>
    <t>511130.SH</t>
  </si>
  <si>
    <t>30年国债ETF博时</t>
  </si>
  <si>
    <t>950175.CSI</t>
  </si>
  <si>
    <t>沪30年国债</t>
  </si>
  <si>
    <t>950167.CSI</t>
  </si>
  <si>
    <t>沪AAA科创债</t>
  </si>
  <si>
    <t>科创债ETF广发</t>
  </si>
  <si>
    <t>N科创债ETF摩根</t>
  </si>
  <si>
    <t>摩根基金</t>
  </si>
  <si>
    <t>N科创债ETF永赢</t>
  </si>
  <si>
    <t>N科创债ETF中银</t>
  </si>
  <si>
    <t>科创债ETF博时</t>
  </si>
  <si>
    <t>511180.SH</t>
  </si>
  <si>
    <t>上证可转债ETF</t>
  </si>
  <si>
    <t>950041.CSI</t>
  </si>
  <si>
    <t>上证投资级转债及可交换债</t>
  </si>
  <si>
    <t>511580.SH</t>
  </si>
  <si>
    <t>国债政金债ETF</t>
  </si>
  <si>
    <t>932200.CSI</t>
  </si>
  <si>
    <t>国债及政金债0-3</t>
  </si>
  <si>
    <t>科创债ETF南方</t>
  </si>
  <si>
    <t>932160.CSI</t>
  </si>
  <si>
    <t>AAA科创债</t>
  </si>
  <si>
    <t>551560.SH</t>
  </si>
  <si>
    <t>N科创债ETF兴业</t>
  </si>
  <si>
    <t>兴业基金</t>
  </si>
  <si>
    <t>工银瑞信基金</t>
  </si>
  <si>
    <t>159115.SZ</t>
  </si>
  <si>
    <t>科创债ETF华安</t>
  </si>
  <si>
    <t>科创债ETF银华</t>
  </si>
  <si>
    <t>N科创债ETF泰康</t>
  </si>
  <si>
    <t>551510.SH</t>
  </si>
  <si>
    <t>N科创债ETF华泰柏瑞</t>
  </si>
  <si>
    <t>华泰柏瑞基金</t>
  </si>
  <si>
    <t>科创债ETF易方达</t>
  </si>
  <si>
    <t>科创债ETF富国</t>
  </si>
  <si>
    <t>159113.SZ</t>
  </si>
  <si>
    <t>科创债ETF大成</t>
  </si>
  <si>
    <t>大成基金</t>
  </si>
  <si>
    <t>551520.SH</t>
  </si>
  <si>
    <t>N科创债ETF汇添富</t>
  </si>
  <si>
    <t>N科创债ETF国泰</t>
  </si>
  <si>
    <t>159111.SZ</t>
  </si>
  <si>
    <t>科创债ETF天弘</t>
  </si>
  <si>
    <t>天弘基金</t>
  </si>
  <si>
    <t>511160.SH</t>
  </si>
  <si>
    <t>国债ETF东财</t>
  </si>
  <si>
    <t>西藏东财基金</t>
  </si>
  <si>
    <t>931552.CSI</t>
  </si>
  <si>
    <t>1-3年国债</t>
  </si>
  <si>
    <t>159816.SZ</t>
  </si>
  <si>
    <t>0-4地债ETF</t>
  </si>
  <si>
    <t>931161.CSI</t>
  </si>
  <si>
    <t>0-4年地债</t>
  </si>
  <si>
    <t>511380.SH</t>
  </si>
  <si>
    <t>可转债ETF</t>
  </si>
  <si>
    <t>931078.CSI</t>
  </si>
  <si>
    <t>中证转债及可交换债</t>
  </si>
  <si>
    <t>511020.SH</t>
  </si>
  <si>
    <t>国债ETF5至10年</t>
  </si>
  <si>
    <t>931018.CSI</t>
  </si>
  <si>
    <t>中证5-10年国债活跃券</t>
  </si>
  <si>
    <t>159972.SZ</t>
  </si>
  <si>
    <t>5年地债ETF</t>
  </si>
  <si>
    <t>930865.CSI</t>
  </si>
  <si>
    <t>5年地债</t>
  </si>
  <si>
    <t>科创债ETF景顺</t>
  </si>
  <si>
    <t>921130.CNI</t>
  </si>
  <si>
    <t>深AAA科创债</t>
  </si>
  <si>
    <t>159110.SZ</t>
  </si>
  <si>
    <t>科创债ETF万家</t>
  </si>
  <si>
    <t>万家基金</t>
  </si>
  <si>
    <t>921128.CNI</t>
  </si>
  <si>
    <t>深做市信用债</t>
  </si>
  <si>
    <t>159395.SZ</t>
  </si>
  <si>
    <t>信用债ETF大成</t>
  </si>
  <si>
    <t>159398.SZ</t>
  </si>
  <si>
    <t>信用债ETF天弘</t>
  </si>
  <si>
    <t>159396.SZ</t>
  </si>
  <si>
    <t>信用债ETF博时</t>
  </si>
  <si>
    <t>511010.SH</t>
  </si>
  <si>
    <t>国债ETF</t>
  </si>
  <si>
    <t>000140.SH</t>
  </si>
  <si>
    <t>上证5年国债</t>
  </si>
  <si>
    <t>数据来源：Wind</t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</si>
</sst>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0_ "/>
    <numFmt numFmtId="178" formatCode="#,##0.00_ "/>
    <numFmt numFmtId="179" formatCode="#,##0.0000_ "/>
    <numFmt numFmtId="180" formatCode="#,##0_ "/>
    <numFmt numFmtId="181" formatCode="###,###,##0.0000"/>
    <numFmt numFmtId="182" formatCode="0.000"/>
    <numFmt numFmtId="183" formatCode="0.000_ "/>
    <numFmt numFmtId="184" formatCode="###,###,##0.00000"/>
    <numFmt numFmtId="185" formatCode="0.0000%"/>
    <numFmt numFmtId="186" formatCode="#,##0.000_ "/>
    <numFmt numFmtId="187" formatCode="###,##0.0000"/>
    <numFmt numFmtId="188" formatCode="###,###,###,##0.00"/>
    <numFmt numFmtId="189" formatCode="_ * #,##0.000_ ;_ * \-#,##0.000_ ;_ * &quot;-&quot;??_ ;_ @_ "/>
  </numFmts>
  <fonts count="33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color rgb="FFFF0000"/>
      <name val="Arial"/>
      <charset val="0"/>
    </font>
    <font>
      <b/>
      <sz val="11"/>
      <color theme="1"/>
      <name val="宋体"/>
      <charset val="134"/>
      <scheme val="minor"/>
    </font>
    <font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indexed="8"/>
      <name val="宋体"/>
      <charset val="134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7" fillId="23" borderId="20" applyNumberFormat="0" applyAlignment="0" applyProtection="0">
      <alignment vertical="center"/>
    </xf>
    <xf numFmtId="0" fontId="28" fillId="23" borderId="16" applyNumberFormat="0" applyAlignment="0" applyProtection="0">
      <alignment vertical="center"/>
    </xf>
    <xf numFmtId="0" fontId="29" fillId="24" borderId="21" applyNumberForma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</cellStyleXfs>
  <cellXfs count="15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/>
    </xf>
    <xf numFmtId="49" fontId="1" fillId="0" borderId="0" xfId="0" applyNumberFormat="1" applyFont="1" applyAlignment="1"/>
    <xf numFmtId="0" fontId="1" fillId="0" borderId="0" xfId="0" applyFont="1" applyAlignment="1"/>
    <xf numFmtId="49" fontId="2" fillId="0" borderId="0" xfId="0" applyNumberFormat="1" applyFont="1" applyAlignment="1"/>
    <xf numFmtId="0" fontId="3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2" borderId="5" xfId="0" applyFill="1" applyBorder="1">
      <alignment vertical="center"/>
    </xf>
    <xf numFmtId="0" fontId="0" fillId="0" borderId="5" xfId="0" applyBorder="1">
      <alignment vertical="center"/>
    </xf>
    <xf numFmtId="9" fontId="0" fillId="0" borderId="5" xfId="0" applyNumberFormat="1" applyBorder="1">
      <alignment vertical="center"/>
    </xf>
    <xf numFmtId="178" fontId="0" fillId="0" borderId="5" xfId="0" applyNumberFormat="1" applyBorder="1">
      <alignment vertical="center"/>
    </xf>
    <xf numFmtId="0" fontId="0" fillId="0" borderId="0" xfId="0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178" fontId="0" fillId="2" borderId="0" xfId="0" applyNumberFormat="1" applyFill="1">
      <alignment vertical="center"/>
    </xf>
    <xf numFmtId="14" fontId="3" fillId="0" borderId="0" xfId="49" applyNumberFormat="1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4" fontId="0" fillId="0" borderId="0" xfId="49" applyNumberFormat="1" applyAlignment="1">
      <alignment horizontal="center" vertical="center"/>
    </xf>
    <xf numFmtId="0" fontId="0" fillId="0" borderId="0" xfId="49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178" fontId="0" fillId="0" borderId="0" xfId="0" applyNumberFormat="1" applyBorder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178" fontId="0" fillId="3" borderId="0" xfId="0" applyNumberFormat="1" applyFill="1">
      <alignment vertical="center"/>
    </xf>
    <xf numFmtId="14" fontId="0" fillId="3" borderId="0" xfId="0" applyNumberFormat="1" applyFill="1">
      <alignment vertical="center"/>
    </xf>
    <xf numFmtId="14" fontId="0" fillId="2" borderId="0" xfId="0" applyNumberFormat="1" applyFill="1">
      <alignment vertical="center"/>
    </xf>
    <xf numFmtId="178" fontId="0" fillId="4" borderId="0" xfId="0" applyNumberFormat="1" applyFill="1">
      <alignment vertical="center"/>
    </xf>
    <xf numFmtId="178" fontId="0" fillId="4" borderId="0" xfId="0" applyNumberFormat="1" applyFill="1" applyBorder="1">
      <alignment vertical="center"/>
    </xf>
    <xf numFmtId="14" fontId="0" fillId="0" borderId="0" xfId="0" applyNumberFormat="1" applyBorder="1">
      <alignment vertical="center"/>
    </xf>
    <xf numFmtId="178" fontId="0" fillId="0" borderId="6" xfId="0" applyNumberFormat="1" applyBorder="1">
      <alignment vertical="center"/>
    </xf>
    <xf numFmtId="14" fontId="0" fillId="0" borderId="6" xfId="0" applyNumberFormat="1" applyBorder="1">
      <alignment vertical="center"/>
    </xf>
    <xf numFmtId="0" fontId="4" fillId="5" borderId="7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right" vertical="center"/>
    </xf>
    <xf numFmtId="179" fontId="5" fillId="0" borderId="3" xfId="0" applyNumberFormat="1" applyFont="1" applyFill="1" applyBorder="1" applyAlignment="1">
      <alignment horizontal="right" vertical="center"/>
    </xf>
    <xf numFmtId="180" fontId="5" fillId="0" borderId="3" xfId="0" applyNumberFormat="1" applyFont="1" applyFill="1" applyBorder="1" applyAlignment="1">
      <alignment horizontal="right" vertical="center"/>
    </xf>
    <xf numFmtId="14" fontId="3" fillId="0" borderId="0" xfId="0" applyNumberFormat="1" applyFont="1">
      <alignment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78" fontId="0" fillId="0" borderId="0" xfId="0" applyNumberFormat="1" applyFont="1">
      <alignment vertical="center"/>
    </xf>
    <xf numFmtId="0" fontId="6" fillId="2" borderId="0" xfId="0" applyFont="1" applyFill="1" applyBorder="1" applyAlignment="1"/>
    <xf numFmtId="0" fontId="0" fillId="2" borderId="0" xfId="0" applyFill="1" applyAlignment="1"/>
    <xf numFmtId="181" fontId="0" fillId="2" borderId="0" xfId="0" applyNumberFormat="1" applyFill="1" applyAlignment="1"/>
    <xf numFmtId="0" fontId="0" fillId="0" borderId="0" xfId="0" applyFill="1" applyAlignment="1"/>
    <xf numFmtId="0" fontId="6" fillId="0" borderId="0" xfId="0" applyFont="1" applyFill="1" applyBorder="1" applyAlignment="1"/>
    <xf numFmtId="181" fontId="0" fillId="0" borderId="0" xfId="0" applyNumberFormat="1" applyFill="1" applyAlignment="1"/>
    <xf numFmtId="181" fontId="0" fillId="0" borderId="0" xfId="0" applyNumberFormat="1">
      <alignment vertical="center"/>
    </xf>
    <xf numFmtId="0" fontId="7" fillId="2" borderId="0" xfId="0" applyFont="1" applyFill="1" applyAlignment="1"/>
    <xf numFmtId="0" fontId="8" fillId="6" borderId="8" xfId="7" applyBorder="1">
      <alignment vertical="center"/>
    </xf>
    <xf numFmtId="0" fontId="8" fillId="6" borderId="9" xfId="7" applyBorder="1">
      <alignment vertical="center"/>
    </xf>
    <xf numFmtId="0" fontId="0" fillId="0" borderId="10" xfId="0" applyBorder="1">
      <alignment vertical="center"/>
    </xf>
    <xf numFmtId="0" fontId="0" fillId="7" borderId="0" xfId="0" applyFill="1">
      <alignment vertical="center"/>
    </xf>
    <xf numFmtId="0" fontId="9" fillId="8" borderId="0" xfId="32" applyBorder="1">
      <alignment vertical="center"/>
    </xf>
    <xf numFmtId="0" fontId="0" fillId="9" borderId="0" xfId="0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10" borderId="0" xfId="0" applyFill="1">
      <alignment vertical="center"/>
    </xf>
    <xf numFmtId="0" fontId="0" fillId="0" borderId="11" xfId="0" applyBorder="1">
      <alignment vertical="center"/>
    </xf>
    <xf numFmtId="0" fontId="0" fillId="0" borderId="6" xfId="0" applyBorder="1">
      <alignment vertical="center"/>
    </xf>
    <xf numFmtId="0" fontId="9" fillId="8" borderId="6" xfId="32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9" xfId="0" applyFont="1" applyBorder="1">
      <alignment vertical="center"/>
    </xf>
    <xf numFmtId="0" fontId="8" fillId="6" borderId="9" xfId="7" applyBorder="1" applyAlignment="1">
      <alignment horizontal="left" vertical="center"/>
    </xf>
    <xf numFmtId="0" fontId="8" fillId="6" borderId="12" xfId="7" applyBorder="1">
      <alignment vertical="center"/>
    </xf>
    <xf numFmtId="0" fontId="0" fillId="0" borderId="13" xfId="0" applyBorder="1">
      <alignment vertical="center"/>
    </xf>
    <xf numFmtId="0" fontId="0" fillId="0" borderId="13" xfId="0" applyFont="1" applyBorder="1">
      <alignment vertical="center"/>
    </xf>
    <xf numFmtId="0" fontId="0" fillId="11" borderId="0" xfId="0" applyFill="1">
      <alignment vertical="center"/>
    </xf>
    <xf numFmtId="0" fontId="9" fillId="8" borderId="0" xfId="32">
      <alignment vertical="center"/>
    </xf>
    <xf numFmtId="0" fontId="9" fillId="8" borderId="0" xfId="32" applyAlignment="1">
      <alignment horizontal="left" vertical="center"/>
    </xf>
    <xf numFmtId="0" fontId="0" fillId="12" borderId="0" xfId="0" applyFill="1">
      <alignment vertical="center"/>
    </xf>
    <xf numFmtId="0" fontId="9" fillId="8" borderId="0" xfId="32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4" xfId="0" applyBorder="1">
      <alignment vertical="center"/>
    </xf>
    <xf numFmtId="0" fontId="9" fillId="8" borderId="9" xfId="32" applyBorder="1">
      <alignment vertical="center"/>
    </xf>
    <xf numFmtId="0" fontId="0" fillId="0" borderId="9" xfId="0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0" xfId="0" applyFont="1" applyAlignment="1">
      <alignment horizontal="left" vertical="center"/>
    </xf>
    <xf numFmtId="183" fontId="0" fillId="0" borderId="0" xfId="0" applyNumberFormat="1">
      <alignment vertical="center"/>
    </xf>
    <xf numFmtId="43" fontId="0" fillId="0" borderId="0" xfId="8" applyFont="1">
      <alignment vertical="center"/>
    </xf>
    <xf numFmtId="0" fontId="0" fillId="3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183" fontId="0" fillId="3" borderId="0" xfId="0" applyNumberFormat="1" applyFill="1">
      <alignment vertical="center"/>
    </xf>
    <xf numFmtId="43" fontId="0" fillId="3" borderId="0" xfId="8" applyFont="1" applyFill="1">
      <alignment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>
      <alignment vertical="center"/>
    </xf>
    <xf numFmtId="183" fontId="0" fillId="2" borderId="0" xfId="0" applyNumberFormat="1" applyFill="1">
      <alignment vertical="center"/>
    </xf>
    <xf numFmtId="43" fontId="0" fillId="2" borderId="0" xfId="8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>
      <alignment vertical="center"/>
    </xf>
    <xf numFmtId="183" fontId="0" fillId="4" borderId="0" xfId="0" applyNumberFormat="1" applyFill="1">
      <alignment vertical="center"/>
    </xf>
    <xf numFmtId="43" fontId="0" fillId="4" borderId="0" xfId="8" applyFont="1" applyFill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>
      <alignment vertical="center"/>
    </xf>
    <xf numFmtId="183" fontId="0" fillId="4" borderId="0" xfId="0" applyNumberFormat="1" applyFill="1" applyBorder="1">
      <alignment vertical="center"/>
    </xf>
    <xf numFmtId="43" fontId="0" fillId="4" borderId="0" xfId="8" applyFont="1" applyFill="1" applyBorder="1">
      <alignment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Font="1" applyBorder="1">
      <alignment vertical="center"/>
    </xf>
    <xf numFmtId="183" fontId="0" fillId="0" borderId="6" xfId="0" applyNumberFormat="1" applyBorder="1">
      <alignment vertical="center"/>
    </xf>
    <xf numFmtId="43" fontId="0" fillId="0" borderId="6" xfId="8" applyFont="1" applyBorder="1">
      <alignment vertical="center"/>
    </xf>
    <xf numFmtId="182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0" fontId="12" fillId="0" borderId="0" xfId="0" applyFont="1">
      <alignment vertical="center"/>
    </xf>
    <xf numFmtId="183" fontId="0" fillId="2" borderId="6" xfId="0" applyNumberFormat="1" applyFill="1" applyBorder="1">
      <alignment vertical="center"/>
    </xf>
    <xf numFmtId="178" fontId="12" fillId="2" borderId="0" xfId="0" applyNumberFormat="1" applyFont="1" applyFill="1">
      <alignment vertical="center"/>
    </xf>
    <xf numFmtId="184" fontId="0" fillId="0" borderId="0" xfId="0" applyNumberFormat="1">
      <alignment vertical="center"/>
    </xf>
    <xf numFmtId="184" fontId="0" fillId="0" borderId="0" xfId="0" applyNumberFormat="1" applyFont="1">
      <alignment vertical="center"/>
    </xf>
    <xf numFmtId="43" fontId="0" fillId="0" borderId="0" xfId="0" applyNumberFormat="1">
      <alignment vertical="center"/>
    </xf>
    <xf numFmtId="185" fontId="0" fillId="0" borderId="0" xfId="11" applyNumberFormat="1">
      <alignment vertical="center"/>
    </xf>
    <xf numFmtId="178" fontId="3" fillId="0" borderId="0" xfId="0" applyNumberFormat="1" applyFont="1">
      <alignment vertical="center"/>
    </xf>
    <xf numFmtId="178" fontId="3" fillId="0" borderId="0" xfId="0" applyNumberFormat="1" applyFont="1" applyAlignment="1">
      <alignment horizontal="center" vertical="center"/>
    </xf>
    <xf numFmtId="178" fontId="0" fillId="0" borderId="0" xfId="8" applyNumberFormat="1" applyFont="1">
      <alignment vertical="center"/>
    </xf>
    <xf numFmtId="10" fontId="0" fillId="0" borderId="0" xfId="0" applyNumberFormat="1">
      <alignment vertical="center"/>
    </xf>
    <xf numFmtId="178" fontId="0" fillId="12" borderId="0" xfId="0" applyNumberFormat="1" applyFill="1">
      <alignment vertical="center"/>
    </xf>
    <xf numFmtId="178" fontId="0" fillId="3" borderId="0" xfId="8" applyNumberFormat="1" applyFont="1" applyFill="1">
      <alignment vertical="center"/>
    </xf>
    <xf numFmtId="10" fontId="0" fillId="3" borderId="0" xfId="0" applyNumberFormat="1" applyFill="1">
      <alignment vertical="center"/>
    </xf>
    <xf numFmtId="186" fontId="0" fillId="12" borderId="0" xfId="0" applyNumberFormat="1" applyFill="1">
      <alignment vertical="center"/>
    </xf>
    <xf numFmtId="178" fontId="0" fillId="0" borderId="0" xfId="8" applyNumberFormat="1" applyFont="1" applyBorder="1">
      <alignment vertical="center"/>
    </xf>
    <xf numFmtId="10" fontId="0" fillId="0" borderId="0" xfId="0" applyNumberFormat="1" applyBorder="1">
      <alignment vertical="center"/>
    </xf>
    <xf numFmtId="178" fontId="0" fillId="0" borderId="6" xfId="8" applyNumberFormat="1" applyFont="1" applyBorder="1">
      <alignment vertical="center"/>
    </xf>
    <xf numFmtId="10" fontId="0" fillId="0" borderId="6" xfId="0" applyNumberFormat="1" applyBorder="1">
      <alignment vertical="center"/>
    </xf>
    <xf numFmtId="178" fontId="0" fillId="12" borderId="6" xfId="0" applyNumberFormat="1" applyFill="1" applyBorder="1">
      <alignment vertical="center"/>
    </xf>
    <xf numFmtId="0" fontId="0" fillId="13" borderId="0" xfId="0" applyFill="1">
      <alignment vertical="center"/>
    </xf>
    <xf numFmtId="178" fontId="0" fillId="12" borderId="0" xfId="0" applyNumberFormat="1" applyFill="1" applyBorder="1">
      <alignment vertical="center"/>
    </xf>
    <xf numFmtId="178" fontId="0" fillId="14" borderId="0" xfId="0" applyNumberFormat="1" applyFill="1" applyBorder="1">
      <alignment vertical="center"/>
    </xf>
    <xf numFmtId="177" fontId="0" fillId="0" borderId="0" xfId="0" applyNumberFormat="1">
      <alignment vertical="center"/>
    </xf>
    <xf numFmtId="176" fontId="0" fillId="0" borderId="0" xfId="11" applyNumberFormat="1">
      <alignment vertical="center"/>
    </xf>
    <xf numFmtId="43" fontId="0" fillId="0" borderId="0" xfId="8" applyFont="1" applyBorder="1">
      <alignment vertical="center"/>
    </xf>
    <xf numFmtId="176" fontId="0" fillId="0" borderId="0" xfId="11" applyNumberFormat="1" applyBorder="1">
      <alignment vertical="center"/>
    </xf>
    <xf numFmtId="176" fontId="0" fillId="0" borderId="6" xfId="11" applyNumberFormat="1" applyBorder="1">
      <alignment vertical="center"/>
    </xf>
    <xf numFmtId="0" fontId="13" fillId="0" borderId="15" xfId="0" applyFont="1" applyBorder="1" applyAlignment="1">
      <alignment horizontal="center" vertical="top"/>
    </xf>
    <xf numFmtId="0" fontId="7" fillId="0" borderId="0" xfId="0" applyFont="1" applyAlignment="1"/>
    <xf numFmtId="187" fontId="0" fillId="0" borderId="0" xfId="0" applyNumberFormat="1">
      <alignment vertical="center"/>
    </xf>
    <xf numFmtId="188" fontId="0" fillId="0" borderId="0" xfId="0" applyNumberFormat="1">
      <alignment vertical="center"/>
    </xf>
    <xf numFmtId="0" fontId="14" fillId="15" borderId="3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87" fontId="15" fillId="0" borderId="3" xfId="0" applyNumberFormat="1" applyFont="1" applyBorder="1" applyAlignment="1">
      <alignment horizontal="right" vertical="center"/>
    </xf>
    <xf numFmtId="188" fontId="15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9" fillId="8" borderId="0" xfId="32" applyAlignment="1">
      <alignment horizontal="center" vertical="center"/>
    </xf>
    <xf numFmtId="189" fontId="0" fillId="2" borderId="0" xfId="8" applyNumberFormat="1" applyFont="1" applyFill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266700</xdr:colOff>
      <xdr:row>3</xdr:row>
      <xdr:rowOff>57150</xdr:rowOff>
    </xdr:from>
    <xdr:to>
      <xdr:col>21</xdr:col>
      <xdr:colOff>525780</xdr:colOff>
      <xdr:row>11</xdr:row>
      <xdr:rowOff>76200</xdr:rowOff>
    </xdr:to>
    <xdr:pic>
      <xdr:nvPicPr>
        <xdr:cNvPr id="2" name="图片 1" descr="0b27c6bb323902b6d229bcc5847375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63175" y="600075"/>
          <a:ext cx="3002280" cy="1409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iyy\Downloads\Windnet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cvn_rateofstdbnd"/>
      <definedName name="f_nav_unit"/>
      <definedName name="s_dq_close"/>
      <definedName name="b_anal_yield_csi1"/>
      <definedName name="b_info_outstandingbalanc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Z35"/>
  <sheetViews>
    <sheetView workbookViewId="0">
      <selection activeCell="G4" sqref="G4"/>
    </sheetView>
  </sheetViews>
  <sheetFormatPr defaultColWidth="9" defaultRowHeight="13.5"/>
  <cols>
    <col min="2" max="2" width="16.125" customWidth="1"/>
    <col min="3" max="4" width="9.5" customWidth="1"/>
    <col min="5" max="5" width="15" customWidth="1"/>
    <col min="6" max="6" width="16.375" customWidth="1"/>
    <col min="7" max="7" width="23.25" customWidth="1"/>
    <col min="15" max="15" width="18.375" customWidth="1"/>
    <col min="16" max="16" width="10.5" customWidth="1"/>
    <col min="17" max="17" width="16.25" customWidth="1"/>
    <col min="20" max="20" width="18.375" customWidth="1"/>
  </cols>
  <sheetData>
    <row r="1" spans="1:26">
      <c r="A1" s="144" t="s">
        <v>0</v>
      </c>
      <c r="B1" s="144" t="s">
        <v>1</v>
      </c>
      <c r="C1" s="144" t="s">
        <v>2</v>
      </c>
      <c r="D1" s="144" t="s">
        <v>3</v>
      </c>
      <c r="E1" s="144" t="s">
        <v>4</v>
      </c>
      <c r="F1" s="144" t="s">
        <v>5</v>
      </c>
      <c r="G1" s="144" t="s">
        <v>6</v>
      </c>
      <c r="H1" s="144" t="s">
        <v>7</v>
      </c>
      <c r="I1" s="144" t="s">
        <v>8</v>
      </c>
      <c r="J1" s="144" t="s">
        <v>9</v>
      </c>
      <c r="K1" s="144" t="s">
        <v>10</v>
      </c>
      <c r="L1" s="144" t="s">
        <v>11</v>
      </c>
      <c r="M1" s="144" t="s">
        <v>12</v>
      </c>
      <c r="N1" s="144" t="s">
        <v>13</v>
      </c>
      <c r="O1" s="144" t="s">
        <v>14</v>
      </c>
      <c r="P1" s="144" t="s">
        <v>15</v>
      </c>
      <c r="Q1" s="144" t="s">
        <v>16</v>
      </c>
      <c r="R1" s="144" t="s">
        <v>17</v>
      </c>
      <c r="S1" s="144" t="s">
        <v>18</v>
      </c>
      <c r="T1" s="144" t="s">
        <v>19</v>
      </c>
      <c r="U1" s="144" t="s">
        <v>20</v>
      </c>
      <c r="V1" s="144" t="s">
        <v>21</v>
      </c>
      <c r="W1" s="144" t="s">
        <v>22</v>
      </c>
      <c r="X1" s="144" t="s">
        <v>23</v>
      </c>
      <c r="Y1" s="144" t="s">
        <v>24</v>
      </c>
      <c r="Z1" s="144" t="s">
        <v>25</v>
      </c>
    </row>
    <row r="2" spans="1:26">
      <c r="A2" s="145" t="s">
        <v>26</v>
      </c>
      <c r="B2" s="145" t="s">
        <v>27</v>
      </c>
      <c r="C2" s="145" t="s">
        <v>28</v>
      </c>
      <c r="D2" s="145">
        <v>-340756.9</v>
      </c>
      <c r="E2" s="145">
        <v>-14066525.82</v>
      </c>
      <c r="F2" s="145">
        <v>-14066525.82</v>
      </c>
      <c r="G2" s="145">
        <v>0</v>
      </c>
      <c r="H2" s="145">
        <v>17973.9</v>
      </c>
      <c r="I2" s="145">
        <v>0</v>
      </c>
      <c r="J2" s="145">
        <v>0</v>
      </c>
      <c r="K2" s="145">
        <v>0</v>
      </c>
      <c r="L2" s="145">
        <v>0</v>
      </c>
      <c r="M2" s="145">
        <v>393233.03196347</v>
      </c>
      <c r="N2" s="145">
        <v>0</v>
      </c>
      <c r="O2" s="145">
        <v>100000</v>
      </c>
      <c r="P2" s="145">
        <v>0</v>
      </c>
      <c r="Q2" s="145">
        <v>0</v>
      </c>
      <c r="R2" s="145">
        <v>12</v>
      </c>
      <c r="S2" s="145">
        <v>12</v>
      </c>
      <c r="T2" s="145">
        <v>136.553188880365</v>
      </c>
      <c r="U2" s="145">
        <v>0</v>
      </c>
      <c r="V2" s="145">
        <v>0</v>
      </c>
      <c r="W2" s="145">
        <v>0</v>
      </c>
      <c r="X2" s="145">
        <v>-340756.9</v>
      </c>
      <c r="Y2" s="145" t="s">
        <v>29</v>
      </c>
      <c r="Z2" s="145" t="b">
        <v>1</v>
      </c>
    </row>
    <row r="3" spans="1:26">
      <c r="A3" s="145" t="s">
        <v>26</v>
      </c>
      <c r="B3" s="145" t="s">
        <v>27</v>
      </c>
      <c r="C3" s="145" t="s">
        <v>30</v>
      </c>
      <c r="D3" s="145">
        <v>-374832.59</v>
      </c>
      <c r="E3" s="145">
        <v>-15473178.4</v>
      </c>
      <c r="F3" s="145">
        <v>-15473178.4</v>
      </c>
      <c r="G3" s="145">
        <v>0</v>
      </c>
      <c r="H3" s="145">
        <v>19771.29</v>
      </c>
      <c r="I3" s="145">
        <v>0</v>
      </c>
      <c r="J3" s="145">
        <v>0</v>
      </c>
      <c r="K3" s="145">
        <v>0</v>
      </c>
      <c r="L3" s="145">
        <v>0</v>
      </c>
      <c r="M3" s="145">
        <v>432556.335159817</v>
      </c>
      <c r="N3" s="145">
        <v>0</v>
      </c>
      <c r="O3" s="145">
        <v>110000</v>
      </c>
      <c r="P3" s="145">
        <v>0</v>
      </c>
      <c r="Q3" s="145">
        <v>0</v>
      </c>
      <c r="R3" s="145">
        <v>12</v>
      </c>
      <c r="S3" s="145">
        <v>12</v>
      </c>
      <c r="T3" s="145">
        <v>136.553188862184</v>
      </c>
      <c r="U3" s="145">
        <v>0</v>
      </c>
      <c r="V3" s="145">
        <v>0</v>
      </c>
      <c r="W3" s="145">
        <v>0</v>
      </c>
      <c r="X3" s="145">
        <v>-374832.59</v>
      </c>
      <c r="Y3" s="145" t="s">
        <v>29</v>
      </c>
      <c r="Z3" s="145" t="b">
        <v>1</v>
      </c>
    </row>
    <row r="4" spans="1:26">
      <c r="A4" s="145" t="s">
        <v>26</v>
      </c>
      <c r="B4" s="145" t="s">
        <v>27</v>
      </c>
      <c r="C4" s="145" t="s">
        <v>31</v>
      </c>
      <c r="D4" s="145">
        <v>-374832.59</v>
      </c>
      <c r="E4" s="145">
        <v>-15473178.4</v>
      </c>
      <c r="F4" s="145">
        <v>-15473178.4</v>
      </c>
      <c r="G4" s="145">
        <v>0</v>
      </c>
      <c r="H4" s="145">
        <v>19771.29</v>
      </c>
      <c r="I4" s="145">
        <v>0</v>
      </c>
      <c r="J4" s="145">
        <v>0</v>
      </c>
      <c r="K4" s="145">
        <v>0</v>
      </c>
      <c r="L4" s="145">
        <v>0</v>
      </c>
      <c r="M4" s="145">
        <v>432556.335159817</v>
      </c>
      <c r="N4" s="145">
        <v>0</v>
      </c>
      <c r="O4" s="145">
        <v>110000</v>
      </c>
      <c r="P4" s="145">
        <v>0</v>
      </c>
      <c r="Q4" s="145">
        <v>0</v>
      </c>
      <c r="R4" s="145">
        <v>12</v>
      </c>
      <c r="S4" s="145">
        <v>12</v>
      </c>
      <c r="T4" s="145">
        <v>136.553188862184</v>
      </c>
      <c r="U4" s="145">
        <v>0</v>
      </c>
      <c r="V4" s="145">
        <v>0</v>
      </c>
      <c r="W4" s="145">
        <v>0</v>
      </c>
      <c r="X4" s="145">
        <v>-374832.59</v>
      </c>
      <c r="Y4" s="145" t="s">
        <v>29</v>
      </c>
      <c r="Z4" s="145" t="b">
        <v>1</v>
      </c>
    </row>
    <row r="5" spans="1:26">
      <c r="A5" s="145" t="s">
        <v>26</v>
      </c>
      <c r="B5" s="145" t="s">
        <v>27</v>
      </c>
      <c r="C5" s="145" t="s">
        <v>32</v>
      </c>
      <c r="D5" s="145">
        <v>-374832.59</v>
      </c>
      <c r="E5" s="145">
        <v>-15473178.4</v>
      </c>
      <c r="F5" s="145">
        <v>-15473178.4</v>
      </c>
      <c r="G5" s="145">
        <v>0</v>
      </c>
      <c r="H5" s="145">
        <v>19771.29</v>
      </c>
      <c r="I5" s="145">
        <v>0</v>
      </c>
      <c r="J5" s="145">
        <v>0</v>
      </c>
      <c r="K5" s="145">
        <v>0</v>
      </c>
      <c r="L5" s="145">
        <v>0</v>
      </c>
      <c r="M5" s="145">
        <v>432556.335159817</v>
      </c>
      <c r="N5" s="145">
        <v>0</v>
      </c>
      <c r="O5" s="145">
        <v>110000</v>
      </c>
      <c r="P5" s="145">
        <v>0</v>
      </c>
      <c r="Q5" s="145">
        <v>0</v>
      </c>
      <c r="R5" s="145">
        <v>12</v>
      </c>
      <c r="S5" s="145">
        <v>12</v>
      </c>
      <c r="T5" s="145">
        <v>136.553188862184</v>
      </c>
      <c r="U5" s="145">
        <v>0</v>
      </c>
      <c r="V5" s="145">
        <v>0</v>
      </c>
      <c r="W5" s="145">
        <v>0</v>
      </c>
      <c r="X5" s="145">
        <v>-374832.59</v>
      </c>
      <c r="Y5" s="145" t="s">
        <v>29</v>
      </c>
      <c r="Z5" s="145" t="b">
        <v>1</v>
      </c>
    </row>
    <row r="6" spans="1:26">
      <c r="A6" s="145" t="s">
        <v>26</v>
      </c>
      <c r="B6" s="145" t="s">
        <v>27</v>
      </c>
      <c r="C6" s="145" t="s">
        <v>33</v>
      </c>
      <c r="D6" s="145">
        <v>-374832.59</v>
      </c>
      <c r="E6" s="145">
        <v>-15473178.4</v>
      </c>
      <c r="F6" s="145">
        <v>-15473178.4</v>
      </c>
      <c r="G6" s="145">
        <v>0</v>
      </c>
      <c r="H6" s="145">
        <v>19771.29</v>
      </c>
      <c r="I6" s="145">
        <v>0</v>
      </c>
      <c r="J6" s="145">
        <v>0</v>
      </c>
      <c r="K6" s="145">
        <v>0</v>
      </c>
      <c r="L6" s="145">
        <v>0</v>
      </c>
      <c r="M6" s="145">
        <v>432556.335159817</v>
      </c>
      <c r="N6" s="145">
        <v>0</v>
      </c>
      <c r="O6" s="145">
        <v>110000</v>
      </c>
      <c r="P6" s="145">
        <v>0</v>
      </c>
      <c r="Q6" s="145">
        <v>0</v>
      </c>
      <c r="R6" s="145">
        <v>12</v>
      </c>
      <c r="S6" s="145">
        <v>12</v>
      </c>
      <c r="T6" s="145">
        <v>136.553188862184</v>
      </c>
      <c r="U6" s="145">
        <v>0</v>
      </c>
      <c r="V6" s="145">
        <v>0</v>
      </c>
      <c r="W6" s="145">
        <v>0</v>
      </c>
      <c r="X6" s="145">
        <v>-374832.59</v>
      </c>
      <c r="Y6" s="145" t="s">
        <v>29</v>
      </c>
      <c r="Z6" s="145" t="b">
        <v>1</v>
      </c>
    </row>
    <row r="7" spans="1:26">
      <c r="A7" s="145" t="s">
        <v>26</v>
      </c>
      <c r="B7" s="145" t="s">
        <v>27</v>
      </c>
      <c r="C7" s="145" t="s">
        <v>34</v>
      </c>
      <c r="D7" s="145">
        <v>-374832.59</v>
      </c>
      <c r="E7" s="145">
        <v>-15473178.4</v>
      </c>
      <c r="F7" s="145">
        <v>-15473178.4</v>
      </c>
      <c r="G7" s="145">
        <v>0</v>
      </c>
      <c r="H7" s="145">
        <v>19771.29</v>
      </c>
      <c r="I7" s="145">
        <v>0</v>
      </c>
      <c r="J7" s="145">
        <v>0</v>
      </c>
      <c r="K7" s="145">
        <v>0</v>
      </c>
      <c r="L7" s="145">
        <v>0</v>
      </c>
      <c r="M7" s="145">
        <v>432556.335159817</v>
      </c>
      <c r="N7" s="145">
        <v>0</v>
      </c>
      <c r="O7" s="145">
        <v>110000</v>
      </c>
      <c r="P7" s="145">
        <v>0</v>
      </c>
      <c r="Q7" s="145">
        <v>0</v>
      </c>
      <c r="R7" s="145">
        <v>12</v>
      </c>
      <c r="S7" s="145">
        <v>12</v>
      </c>
      <c r="T7" s="145">
        <v>136.553188862184</v>
      </c>
      <c r="U7" s="145">
        <v>0</v>
      </c>
      <c r="V7" s="145">
        <v>0</v>
      </c>
      <c r="W7" s="145">
        <v>0</v>
      </c>
      <c r="X7" s="145">
        <v>-374832.59</v>
      </c>
      <c r="Y7" s="145" t="s">
        <v>29</v>
      </c>
      <c r="Z7" s="145" t="b">
        <v>1</v>
      </c>
    </row>
    <row r="8" spans="1:26">
      <c r="A8" s="145" t="s">
        <v>26</v>
      </c>
      <c r="B8" s="145" t="s">
        <v>27</v>
      </c>
      <c r="C8" s="145" t="s">
        <v>35</v>
      </c>
      <c r="D8" s="145">
        <v>-374832.59</v>
      </c>
      <c r="E8" s="145">
        <v>-15473178.4</v>
      </c>
      <c r="F8" s="145">
        <v>-15473178.4</v>
      </c>
      <c r="G8" s="145">
        <v>0</v>
      </c>
      <c r="H8" s="145">
        <v>19771.29</v>
      </c>
      <c r="I8" s="145">
        <v>0</v>
      </c>
      <c r="J8" s="145">
        <v>0</v>
      </c>
      <c r="K8" s="145">
        <v>0</v>
      </c>
      <c r="L8" s="145">
        <v>0</v>
      </c>
      <c r="M8" s="145">
        <v>432556.335159817</v>
      </c>
      <c r="N8" s="145">
        <v>0</v>
      </c>
      <c r="O8" s="145">
        <v>110000</v>
      </c>
      <c r="P8" s="145">
        <v>0</v>
      </c>
      <c r="Q8" s="145">
        <v>0</v>
      </c>
      <c r="R8" s="145">
        <v>12</v>
      </c>
      <c r="S8" s="145">
        <v>12</v>
      </c>
      <c r="T8" s="145">
        <v>136.553188862184</v>
      </c>
      <c r="U8" s="145">
        <v>0</v>
      </c>
      <c r="V8" s="145">
        <v>0</v>
      </c>
      <c r="W8" s="145">
        <v>0</v>
      </c>
      <c r="X8" s="145">
        <v>-374832.59</v>
      </c>
      <c r="Y8" s="145" t="s">
        <v>29</v>
      </c>
      <c r="Z8" s="145" t="b">
        <v>1</v>
      </c>
    </row>
    <row r="9" spans="1:26">
      <c r="A9" s="145" t="s">
        <v>26</v>
      </c>
      <c r="B9" s="145" t="s">
        <v>27</v>
      </c>
      <c r="C9" s="145" t="s">
        <v>36</v>
      </c>
      <c r="D9" s="145">
        <v>-374832.59</v>
      </c>
      <c r="E9" s="145">
        <v>-15473178.4</v>
      </c>
      <c r="F9" s="145">
        <v>-15473178.4</v>
      </c>
      <c r="G9" s="145">
        <v>0</v>
      </c>
      <c r="H9" s="145">
        <v>19771.29</v>
      </c>
      <c r="I9" s="145">
        <v>0</v>
      </c>
      <c r="J9" s="145">
        <v>0</v>
      </c>
      <c r="K9" s="145">
        <v>0</v>
      </c>
      <c r="L9" s="145">
        <v>0</v>
      </c>
      <c r="M9" s="145">
        <v>432556.335159817</v>
      </c>
      <c r="N9" s="145">
        <v>0</v>
      </c>
      <c r="O9" s="145">
        <v>110000</v>
      </c>
      <c r="P9" s="145">
        <v>0</v>
      </c>
      <c r="Q9" s="145">
        <v>0</v>
      </c>
      <c r="R9" s="145">
        <v>12</v>
      </c>
      <c r="S9" s="145">
        <v>12</v>
      </c>
      <c r="T9" s="145">
        <v>136.553188862184</v>
      </c>
      <c r="U9" s="145">
        <v>0</v>
      </c>
      <c r="V9" s="145">
        <v>0</v>
      </c>
      <c r="W9" s="145">
        <v>0</v>
      </c>
      <c r="X9" s="145">
        <v>-374832.59</v>
      </c>
      <c r="Y9" s="145" t="s">
        <v>29</v>
      </c>
      <c r="Z9" s="145" t="b">
        <v>1</v>
      </c>
    </row>
    <row r="10" spans="1:26">
      <c r="A10" s="145" t="s">
        <v>26</v>
      </c>
      <c r="B10" s="145" t="s">
        <v>27</v>
      </c>
      <c r="C10" s="145" t="s">
        <v>37</v>
      </c>
      <c r="D10" s="145">
        <v>-374832.59</v>
      </c>
      <c r="E10" s="145">
        <v>-15473178.4</v>
      </c>
      <c r="F10" s="145">
        <v>-15473178.4</v>
      </c>
      <c r="G10" s="145">
        <v>0</v>
      </c>
      <c r="H10" s="145">
        <v>19771.29</v>
      </c>
      <c r="I10" s="145">
        <v>0</v>
      </c>
      <c r="J10" s="145">
        <v>0</v>
      </c>
      <c r="K10" s="145">
        <v>0</v>
      </c>
      <c r="L10" s="145">
        <v>0</v>
      </c>
      <c r="M10" s="145">
        <v>432556.335159817</v>
      </c>
      <c r="N10" s="145">
        <v>0</v>
      </c>
      <c r="O10" s="145">
        <v>110000</v>
      </c>
      <c r="P10" s="145">
        <v>0</v>
      </c>
      <c r="Q10" s="145">
        <v>0</v>
      </c>
      <c r="R10" s="145">
        <v>12</v>
      </c>
      <c r="S10" s="145">
        <v>12</v>
      </c>
      <c r="T10" s="145">
        <v>136.553188862184</v>
      </c>
      <c r="U10" s="145">
        <v>0</v>
      </c>
      <c r="V10" s="145">
        <v>0</v>
      </c>
      <c r="W10" s="145">
        <v>0</v>
      </c>
      <c r="X10" s="145">
        <v>-374832.59</v>
      </c>
      <c r="Y10" s="145" t="s">
        <v>29</v>
      </c>
      <c r="Z10" s="145" t="b">
        <v>1</v>
      </c>
    </row>
    <row r="11" spans="1:26">
      <c r="A11" s="145" t="s">
        <v>26</v>
      </c>
      <c r="B11" s="145" t="s">
        <v>27</v>
      </c>
      <c r="C11" s="145" t="s">
        <v>38</v>
      </c>
      <c r="D11" s="145">
        <v>-374832.59</v>
      </c>
      <c r="E11" s="145">
        <v>-15473178.4</v>
      </c>
      <c r="F11" s="145">
        <v>-15473178.4</v>
      </c>
      <c r="G11" s="145">
        <v>0</v>
      </c>
      <c r="H11" s="145">
        <v>19771.29</v>
      </c>
      <c r="I11" s="145">
        <v>0</v>
      </c>
      <c r="J11" s="145">
        <v>0</v>
      </c>
      <c r="K11" s="145">
        <v>0</v>
      </c>
      <c r="L11" s="145">
        <v>0</v>
      </c>
      <c r="M11" s="145">
        <v>432556.335159817</v>
      </c>
      <c r="N11" s="145">
        <v>0</v>
      </c>
      <c r="O11" s="145">
        <v>110000</v>
      </c>
      <c r="P11" s="145">
        <v>0</v>
      </c>
      <c r="Q11" s="145">
        <v>0</v>
      </c>
      <c r="R11" s="145">
        <v>12</v>
      </c>
      <c r="S11" s="145">
        <v>12</v>
      </c>
      <c r="T11" s="145">
        <v>136.553188862184</v>
      </c>
      <c r="U11" s="145">
        <v>0</v>
      </c>
      <c r="V11" s="145">
        <v>0</v>
      </c>
      <c r="W11" s="145">
        <v>0</v>
      </c>
      <c r="X11" s="145">
        <v>-374832.59</v>
      </c>
      <c r="Y11" s="145" t="s">
        <v>29</v>
      </c>
      <c r="Z11" s="145" t="b">
        <v>1</v>
      </c>
    </row>
    <row r="12" spans="1:26">
      <c r="A12" s="145" t="s">
        <v>26</v>
      </c>
      <c r="B12" s="145" t="s">
        <v>27</v>
      </c>
      <c r="C12" s="145" t="s">
        <v>39</v>
      </c>
      <c r="D12" s="145">
        <v>-374832.59</v>
      </c>
      <c r="E12" s="145">
        <v>-15473178.4</v>
      </c>
      <c r="F12" s="145">
        <v>-15473178.4</v>
      </c>
      <c r="G12" s="145">
        <v>0</v>
      </c>
      <c r="H12" s="145">
        <v>19771.29</v>
      </c>
      <c r="I12" s="145">
        <v>0</v>
      </c>
      <c r="J12" s="145">
        <v>0</v>
      </c>
      <c r="K12" s="145">
        <v>0</v>
      </c>
      <c r="L12" s="145">
        <v>0</v>
      </c>
      <c r="M12" s="145">
        <v>432556.335159817</v>
      </c>
      <c r="N12" s="145">
        <v>0</v>
      </c>
      <c r="O12" s="145">
        <v>110000</v>
      </c>
      <c r="P12" s="145">
        <v>0</v>
      </c>
      <c r="Q12" s="145">
        <v>0</v>
      </c>
      <c r="R12" s="145">
        <v>12</v>
      </c>
      <c r="S12" s="145">
        <v>12</v>
      </c>
      <c r="T12" s="145">
        <v>136.553188862184</v>
      </c>
      <c r="U12" s="145">
        <v>0</v>
      </c>
      <c r="V12" s="145">
        <v>0</v>
      </c>
      <c r="W12" s="145">
        <v>0</v>
      </c>
      <c r="X12" s="145">
        <v>-374832.59</v>
      </c>
      <c r="Y12" s="145" t="s">
        <v>29</v>
      </c>
      <c r="Z12" s="145" t="b">
        <v>1</v>
      </c>
    </row>
    <row r="13" spans="1:26">
      <c r="A13" s="145" t="s">
        <v>26</v>
      </c>
      <c r="B13" s="145" t="s">
        <v>27</v>
      </c>
      <c r="C13" s="145" t="s">
        <v>40</v>
      </c>
      <c r="D13" s="145">
        <v>-374832.59</v>
      </c>
      <c r="E13" s="145">
        <v>-15473178.4</v>
      </c>
      <c r="F13" s="145">
        <v>-15473178.4</v>
      </c>
      <c r="G13" s="145">
        <v>0</v>
      </c>
      <c r="H13" s="145">
        <v>19771.29</v>
      </c>
      <c r="I13" s="145">
        <v>0</v>
      </c>
      <c r="J13" s="145">
        <v>0</v>
      </c>
      <c r="K13" s="145">
        <v>0</v>
      </c>
      <c r="L13" s="145">
        <v>0</v>
      </c>
      <c r="M13" s="145">
        <v>432556.335159817</v>
      </c>
      <c r="N13" s="145">
        <v>0</v>
      </c>
      <c r="O13" s="145">
        <v>110000</v>
      </c>
      <c r="P13" s="145">
        <v>0</v>
      </c>
      <c r="Q13" s="145">
        <v>0</v>
      </c>
      <c r="R13" s="145">
        <v>12</v>
      </c>
      <c r="S13" s="145">
        <v>12</v>
      </c>
      <c r="T13" s="145">
        <v>136.553188862184</v>
      </c>
      <c r="U13" s="145">
        <v>0</v>
      </c>
      <c r="V13" s="145">
        <v>0</v>
      </c>
      <c r="W13" s="145">
        <v>0</v>
      </c>
      <c r="X13" s="145">
        <v>-374832.59</v>
      </c>
      <c r="Y13" s="145" t="s">
        <v>29</v>
      </c>
      <c r="Z13" s="145" t="b">
        <v>1</v>
      </c>
    </row>
    <row r="14" spans="1:26">
      <c r="A14" s="145" t="s">
        <v>26</v>
      </c>
      <c r="B14" s="145" t="s">
        <v>27</v>
      </c>
      <c r="C14" s="145" t="s">
        <v>41</v>
      </c>
      <c r="D14" s="145">
        <v>-374832.59</v>
      </c>
      <c r="E14" s="145">
        <v>-15473178.4</v>
      </c>
      <c r="F14" s="145">
        <v>-15473178.4</v>
      </c>
      <c r="G14" s="145">
        <v>0</v>
      </c>
      <c r="H14" s="145">
        <v>19771.29</v>
      </c>
      <c r="I14" s="145">
        <v>0</v>
      </c>
      <c r="J14" s="145">
        <v>0</v>
      </c>
      <c r="K14" s="145">
        <v>0</v>
      </c>
      <c r="L14" s="145">
        <v>0</v>
      </c>
      <c r="M14" s="145">
        <v>432556.335159817</v>
      </c>
      <c r="N14" s="145">
        <v>0</v>
      </c>
      <c r="O14" s="145">
        <v>110000</v>
      </c>
      <c r="P14" s="145">
        <v>0</v>
      </c>
      <c r="Q14" s="145">
        <v>0</v>
      </c>
      <c r="R14" s="145">
        <v>12</v>
      </c>
      <c r="S14" s="145">
        <v>12</v>
      </c>
      <c r="T14" s="145">
        <v>136.553188862184</v>
      </c>
      <c r="U14" s="145">
        <v>0</v>
      </c>
      <c r="V14" s="145">
        <v>0</v>
      </c>
      <c r="W14" s="145">
        <v>0</v>
      </c>
      <c r="X14" s="145">
        <v>-374832.59</v>
      </c>
      <c r="Y14" s="145" t="s">
        <v>29</v>
      </c>
      <c r="Z14" s="145" t="b">
        <v>1</v>
      </c>
    </row>
    <row r="15" spans="1:26">
      <c r="A15" s="145" t="s">
        <v>26</v>
      </c>
      <c r="B15" s="145" t="s">
        <v>27</v>
      </c>
      <c r="C15" s="145" t="s">
        <v>42</v>
      </c>
      <c r="D15" s="145">
        <v>-374832.59</v>
      </c>
      <c r="E15" s="145">
        <v>-15473178.4</v>
      </c>
      <c r="F15" s="145">
        <v>-15473178.4</v>
      </c>
      <c r="G15" s="145">
        <v>0</v>
      </c>
      <c r="H15" s="145">
        <v>19771.29</v>
      </c>
      <c r="I15" s="145">
        <v>0</v>
      </c>
      <c r="J15" s="145">
        <v>0</v>
      </c>
      <c r="K15" s="145">
        <v>0</v>
      </c>
      <c r="L15" s="145">
        <v>0</v>
      </c>
      <c r="M15" s="145">
        <v>432556.335159817</v>
      </c>
      <c r="N15" s="145">
        <v>0</v>
      </c>
      <c r="O15" s="145">
        <v>110000</v>
      </c>
      <c r="P15" s="145">
        <v>0</v>
      </c>
      <c r="Q15" s="145">
        <v>0</v>
      </c>
      <c r="R15" s="145">
        <v>12</v>
      </c>
      <c r="S15" s="145">
        <v>12</v>
      </c>
      <c r="T15" s="145">
        <v>136.553188862184</v>
      </c>
      <c r="U15" s="145">
        <v>0</v>
      </c>
      <c r="V15" s="145">
        <v>0</v>
      </c>
      <c r="W15" s="145">
        <v>0</v>
      </c>
      <c r="X15" s="145">
        <v>-374832.59</v>
      </c>
      <c r="Y15" s="145" t="s">
        <v>29</v>
      </c>
      <c r="Z15" s="145" t="b">
        <v>1</v>
      </c>
    </row>
    <row r="16" spans="1:26">
      <c r="A16" s="145" t="s">
        <v>26</v>
      </c>
      <c r="B16" s="145" t="s">
        <v>27</v>
      </c>
      <c r="C16" s="145" t="s">
        <v>43</v>
      </c>
      <c r="D16" s="145">
        <v>-374832.59</v>
      </c>
      <c r="E16" s="145">
        <v>-15473178.4</v>
      </c>
      <c r="F16" s="145">
        <v>-15473178.4</v>
      </c>
      <c r="G16" s="145">
        <v>0</v>
      </c>
      <c r="H16" s="145">
        <v>19771.29</v>
      </c>
      <c r="I16" s="145">
        <v>0</v>
      </c>
      <c r="J16" s="145">
        <v>0</v>
      </c>
      <c r="K16" s="145">
        <v>0</v>
      </c>
      <c r="L16" s="145">
        <v>0</v>
      </c>
      <c r="M16" s="145">
        <v>432556.335159817</v>
      </c>
      <c r="N16" s="145">
        <v>0</v>
      </c>
      <c r="O16" s="145">
        <v>110000</v>
      </c>
      <c r="P16" s="145">
        <v>0</v>
      </c>
      <c r="Q16" s="145">
        <v>0</v>
      </c>
      <c r="R16" s="145">
        <v>12</v>
      </c>
      <c r="S16" s="145">
        <v>12</v>
      </c>
      <c r="T16" s="145">
        <v>136.553188862184</v>
      </c>
      <c r="U16" s="145">
        <v>0</v>
      </c>
      <c r="V16" s="145">
        <v>0</v>
      </c>
      <c r="W16" s="145">
        <v>0</v>
      </c>
      <c r="X16" s="145">
        <v>-374832.59</v>
      </c>
      <c r="Y16" s="145" t="s">
        <v>29</v>
      </c>
      <c r="Z16" s="145" t="b">
        <v>1</v>
      </c>
    </row>
    <row r="17" spans="1:26">
      <c r="A17" s="145" t="s">
        <v>26</v>
      </c>
      <c r="B17" s="145" t="s">
        <v>27</v>
      </c>
      <c r="C17" s="145" t="s">
        <v>44</v>
      </c>
      <c r="D17" s="145">
        <v>-374832.59</v>
      </c>
      <c r="E17" s="145">
        <v>-15473178.4</v>
      </c>
      <c r="F17" s="145">
        <v>-15473178.4</v>
      </c>
      <c r="G17" s="145">
        <v>0</v>
      </c>
      <c r="H17" s="145">
        <v>19771.29</v>
      </c>
      <c r="I17" s="145">
        <v>0</v>
      </c>
      <c r="J17" s="145">
        <v>0</v>
      </c>
      <c r="K17" s="145">
        <v>0</v>
      </c>
      <c r="L17" s="145">
        <v>0</v>
      </c>
      <c r="M17" s="145">
        <v>432556.335159817</v>
      </c>
      <c r="N17" s="145">
        <v>0</v>
      </c>
      <c r="O17" s="145">
        <v>110000</v>
      </c>
      <c r="P17" s="145">
        <v>0</v>
      </c>
      <c r="Q17" s="145">
        <v>0</v>
      </c>
      <c r="R17" s="145">
        <v>12</v>
      </c>
      <c r="S17" s="145">
        <v>12</v>
      </c>
      <c r="T17" s="145">
        <v>136.553188862184</v>
      </c>
      <c r="U17" s="145">
        <v>0</v>
      </c>
      <c r="V17" s="145">
        <v>0</v>
      </c>
      <c r="W17" s="145">
        <v>0</v>
      </c>
      <c r="X17" s="145">
        <v>-374832.59</v>
      </c>
      <c r="Y17" s="145" t="s">
        <v>29</v>
      </c>
      <c r="Z17" s="145" t="b">
        <v>1</v>
      </c>
    </row>
    <row r="18" spans="1:26">
      <c r="A18" s="145" t="s">
        <v>26</v>
      </c>
      <c r="B18" s="145" t="s">
        <v>27</v>
      </c>
      <c r="C18" s="145" t="s">
        <v>45</v>
      </c>
      <c r="D18" s="145">
        <v>-374832.59</v>
      </c>
      <c r="E18" s="145">
        <v>-15473178.4</v>
      </c>
      <c r="F18" s="145">
        <v>-15473178.4</v>
      </c>
      <c r="G18" s="145">
        <v>0</v>
      </c>
      <c r="H18" s="145">
        <v>19771.29</v>
      </c>
      <c r="I18" s="145">
        <v>0</v>
      </c>
      <c r="J18" s="145">
        <v>0</v>
      </c>
      <c r="K18" s="145">
        <v>0</v>
      </c>
      <c r="L18" s="145">
        <v>0</v>
      </c>
      <c r="M18" s="145">
        <v>432556.335159817</v>
      </c>
      <c r="N18" s="145">
        <v>0</v>
      </c>
      <c r="O18" s="145">
        <v>110000</v>
      </c>
      <c r="P18" s="145">
        <v>0</v>
      </c>
      <c r="Q18" s="145">
        <v>0</v>
      </c>
      <c r="R18" s="145">
        <v>12</v>
      </c>
      <c r="S18" s="145">
        <v>12</v>
      </c>
      <c r="T18" s="145">
        <v>136.553188862184</v>
      </c>
      <c r="U18" s="145">
        <v>0</v>
      </c>
      <c r="V18" s="145">
        <v>0</v>
      </c>
      <c r="W18" s="145">
        <v>0</v>
      </c>
      <c r="X18" s="145">
        <v>-374832.59</v>
      </c>
      <c r="Y18" s="145" t="s">
        <v>29</v>
      </c>
      <c r="Z18" s="145" t="b">
        <v>1</v>
      </c>
    </row>
    <row r="19" spans="1:26">
      <c r="A19" s="145" t="s">
        <v>26</v>
      </c>
      <c r="B19" s="145" t="s">
        <v>27</v>
      </c>
      <c r="C19" s="145" t="s">
        <v>46</v>
      </c>
      <c r="D19" s="145">
        <v>-374832.59</v>
      </c>
      <c r="E19" s="145">
        <v>-15473178.4</v>
      </c>
      <c r="F19" s="145">
        <v>-15473178.4</v>
      </c>
      <c r="G19" s="145">
        <v>0</v>
      </c>
      <c r="H19" s="145">
        <v>19771.29</v>
      </c>
      <c r="I19" s="145">
        <v>0</v>
      </c>
      <c r="J19" s="145">
        <v>0</v>
      </c>
      <c r="K19" s="145">
        <v>0</v>
      </c>
      <c r="L19" s="145">
        <v>0</v>
      </c>
      <c r="M19" s="145">
        <v>432556.335159817</v>
      </c>
      <c r="N19" s="145">
        <v>0</v>
      </c>
      <c r="O19" s="145">
        <v>110000</v>
      </c>
      <c r="P19" s="145">
        <v>0</v>
      </c>
      <c r="Q19" s="145">
        <v>0</v>
      </c>
      <c r="R19" s="145">
        <v>12</v>
      </c>
      <c r="S19" s="145">
        <v>12</v>
      </c>
      <c r="T19" s="145">
        <v>136.553188862184</v>
      </c>
      <c r="U19" s="145">
        <v>0</v>
      </c>
      <c r="V19" s="145">
        <v>0</v>
      </c>
      <c r="W19" s="145">
        <v>0</v>
      </c>
      <c r="X19" s="145">
        <v>-374832.59</v>
      </c>
      <c r="Y19" s="145" t="s">
        <v>29</v>
      </c>
      <c r="Z19" s="145" t="b">
        <v>1</v>
      </c>
    </row>
    <row r="20" spans="1:26">
      <c r="A20" s="145" t="s">
        <v>26</v>
      </c>
      <c r="B20" s="145" t="s">
        <v>27</v>
      </c>
      <c r="C20" s="145" t="s">
        <v>47</v>
      </c>
      <c r="D20" s="145">
        <v>-374832.59</v>
      </c>
      <c r="E20" s="145">
        <v>-15473178.4</v>
      </c>
      <c r="F20" s="145">
        <v>-15473178.4</v>
      </c>
      <c r="G20" s="145">
        <v>0</v>
      </c>
      <c r="H20" s="145">
        <v>19771.29</v>
      </c>
      <c r="I20" s="145">
        <v>0</v>
      </c>
      <c r="J20" s="145">
        <v>0</v>
      </c>
      <c r="K20" s="145">
        <v>0</v>
      </c>
      <c r="L20" s="145">
        <v>0</v>
      </c>
      <c r="M20" s="145">
        <v>432556.335159817</v>
      </c>
      <c r="N20" s="145">
        <v>0</v>
      </c>
      <c r="O20" s="145">
        <v>110000</v>
      </c>
      <c r="P20" s="145">
        <v>0</v>
      </c>
      <c r="Q20" s="145">
        <v>0</v>
      </c>
      <c r="R20" s="145">
        <v>12</v>
      </c>
      <c r="S20" s="145">
        <v>12</v>
      </c>
      <c r="T20" s="145">
        <v>136.553188862184</v>
      </c>
      <c r="U20" s="145">
        <v>0</v>
      </c>
      <c r="V20" s="145">
        <v>0</v>
      </c>
      <c r="W20" s="145">
        <v>0</v>
      </c>
      <c r="X20" s="145">
        <v>-374832.59</v>
      </c>
      <c r="Y20" s="145" t="s">
        <v>29</v>
      </c>
      <c r="Z20" s="145" t="b">
        <v>1</v>
      </c>
    </row>
    <row r="21" spans="1:26">
      <c r="A21" s="145" t="s">
        <v>26</v>
      </c>
      <c r="B21" s="145" t="s">
        <v>27</v>
      </c>
      <c r="C21" s="145" t="s">
        <v>48</v>
      </c>
      <c r="D21" s="145">
        <v>-374832.59</v>
      </c>
      <c r="E21" s="145">
        <v>-15473178.4</v>
      </c>
      <c r="F21" s="145">
        <v>-15473178.4</v>
      </c>
      <c r="G21" s="145">
        <v>0</v>
      </c>
      <c r="H21" s="145">
        <v>19771.29</v>
      </c>
      <c r="I21" s="145">
        <v>0</v>
      </c>
      <c r="J21" s="145">
        <v>0</v>
      </c>
      <c r="K21" s="145">
        <v>0</v>
      </c>
      <c r="L21" s="145">
        <v>0</v>
      </c>
      <c r="M21" s="145">
        <v>432556.335159817</v>
      </c>
      <c r="N21" s="145">
        <v>0</v>
      </c>
      <c r="O21" s="145">
        <v>110000</v>
      </c>
      <c r="P21" s="145">
        <v>0</v>
      </c>
      <c r="Q21" s="145">
        <v>0</v>
      </c>
      <c r="R21" s="145">
        <v>12</v>
      </c>
      <c r="S21" s="145">
        <v>12</v>
      </c>
      <c r="T21" s="145">
        <v>136.553188862184</v>
      </c>
      <c r="U21" s="145">
        <v>0</v>
      </c>
      <c r="V21" s="145">
        <v>0</v>
      </c>
      <c r="W21" s="145">
        <v>0</v>
      </c>
      <c r="X21" s="145">
        <v>-374832.59</v>
      </c>
      <c r="Y21" s="145" t="s">
        <v>29</v>
      </c>
      <c r="Z21" s="145" t="b">
        <v>1</v>
      </c>
    </row>
    <row r="24" spans="15:20">
      <c r="O24" s="93">
        <f>SUM(O2:O21)</f>
        <v>2190000</v>
      </c>
      <c r="T24" s="121">
        <f>O24*$T$21</f>
        <v>299051483.608183</v>
      </c>
    </row>
    <row r="25" spans="15:20">
      <c r="O25" s="121">
        <f>O24+10000</f>
        <v>2200000</v>
      </c>
      <c r="T25" s="121">
        <f>O25*$T$21</f>
        <v>300417015.496805</v>
      </c>
    </row>
    <row r="26" spans="14:18">
      <c r="N26" s="153" t="s">
        <v>49</v>
      </c>
      <c r="O26" s="153" t="s">
        <v>50</v>
      </c>
      <c r="P26" s="153" t="s">
        <v>51</v>
      </c>
      <c r="Q26" s="153" t="s">
        <v>52</v>
      </c>
      <c r="R26" s="153" t="s">
        <v>53</v>
      </c>
    </row>
    <row r="27" spans="3:18">
      <c r="C27" s="32" t="s">
        <v>51</v>
      </c>
      <c r="D27" s="32" t="s">
        <v>54</v>
      </c>
      <c r="E27" s="32" t="s">
        <v>55</v>
      </c>
      <c r="N27">
        <v>511260</v>
      </c>
      <c r="O27" s="93">
        <f>300000000</f>
        <v>300000000</v>
      </c>
      <c r="P27" s="154">
        <v>136.553</v>
      </c>
      <c r="Q27" s="93">
        <f>ROUNDUP(O27/P27,-2)</f>
        <v>2197000</v>
      </c>
      <c r="R27" s="126">
        <v>0.003</v>
      </c>
    </row>
    <row r="28" spans="1:15">
      <c r="A28" s="32" t="s">
        <v>56</v>
      </c>
      <c r="B28" s="121">
        <f>O24</f>
        <v>2190000</v>
      </c>
      <c r="C28">
        <f>T21</f>
        <v>136.553188862184</v>
      </c>
      <c r="D28" s="146">
        <f>$D$34</f>
        <v>136.497</v>
      </c>
      <c r="E28" s="121">
        <f>(D28-C28)*B28</f>
        <v>-123053.6081829</v>
      </c>
      <c r="O28" s="93">
        <f>Q27*P27</f>
        <v>300006941</v>
      </c>
    </row>
    <row r="29" spans="1:16">
      <c r="A29" s="32" t="s">
        <v>57</v>
      </c>
      <c r="B29" s="147">
        <f>F34</f>
        <v>3452200</v>
      </c>
      <c r="C29" s="146">
        <f>K34</f>
        <v>136.50919659927</v>
      </c>
      <c r="D29" s="146">
        <f t="shared" ref="D29:D30" si="0">$D$34</f>
        <v>136.497</v>
      </c>
      <c r="E29" s="121">
        <f>(D29-C29)*B29</f>
        <v>-42105.0999998884</v>
      </c>
      <c r="P29">
        <f>(P27-T21)*Q27</f>
        <v>-414.93021822518</v>
      </c>
    </row>
    <row r="30" spans="1:5">
      <c r="A30" s="32" t="s">
        <v>58</v>
      </c>
      <c r="B30" s="147">
        <f>F35</f>
        <v>3435200</v>
      </c>
      <c r="C30" s="146">
        <f>K35</f>
        <v>136.511097752678</v>
      </c>
      <c r="D30" s="146">
        <f t="shared" si="0"/>
        <v>136.497</v>
      </c>
      <c r="E30" s="121">
        <f>-(D30-C30)*B30</f>
        <v>48428.5999994578</v>
      </c>
    </row>
    <row r="33" spans="1:12">
      <c r="A33" s="148" t="s">
        <v>59</v>
      </c>
      <c r="B33" s="148" t="s">
        <v>60</v>
      </c>
      <c r="C33" s="148" t="s">
        <v>61</v>
      </c>
      <c r="D33" s="148" t="s">
        <v>62</v>
      </c>
      <c r="E33" s="148" t="s">
        <v>63</v>
      </c>
      <c r="F33" s="148" t="s">
        <v>64</v>
      </c>
      <c r="G33" s="148" t="s">
        <v>65</v>
      </c>
      <c r="H33" s="148" t="s">
        <v>66</v>
      </c>
      <c r="I33" s="148" t="s">
        <v>67</v>
      </c>
      <c r="J33" s="148" t="s">
        <v>68</v>
      </c>
      <c r="K33" s="148" t="s">
        <v>69</v>
      </c>
      <c r="L33" s="148" t="s">
        <v>70</v>
      </c>
    </row>
    <row r="34" spans="1:12">
      <c r="A34" s="149" t="s">
        <v>26</v>
      </c>
      <c r="B34" s="149" t="s">
        <v>71</v>
      </c>
      <c r="C34" s="149" t="s">
        <v>72</v>
      </c>
      <c r="D34" s="150">
        <v>136.497</v>
      </c>
      <c r="E34" s="150">
        <v>136.508</v>
      </c>
      <c r="F34" s="151">
        <v>3452200</v>
      </c>
      <c r="G34" s="151">
        <v>471257048.5</v>
      </c>
      <c r="H34" s="152">
        <v>111</v>
      </c>
      <c r="I34" s="150">
        <v>136.435</v>
      </c>
      <c r="J34" s="150">
        <v>136.534</v>
      </c>
      <c r="K34" s="150">
        <v>136.50919659927</v>
      </c>
      <c r="L34" s="150">
        <v>136.50919659927</v>
      </c>
    </row>
    <row r="35" spans="1:12">
      <c r="A35" s="149" t="s">
        <v>26</v>
      </c>
      <c r="B35" s="149" t="s">
        <v>71</v>
      </c>
      <c r="C35" s="149" t="s">
        <v>73</v>
      </c>
      <c r="D35" s="150">
        <v>136.497</v>
      </c>
      <c r="E35" s="150">
        <v>136.508</v>
      </c>
      <c r="F35" s="151">
        <v>3435200</v>
      </c>
      <c r="G35" s="151">
        <v>468942923</v>
      </c>
      <c r="H35" s="152">
        <v>58</v>
      </c>
      <c r="I35" s="150">
        <v>136.505</v>
      </c>
      <c r="J35" s="150">
        <v>136.534</v>
      </c>
      <c r="K35" s="150">
        <v>136.511097752678</v>
      </c>
      <c r="L35" s="150">
        <v>136.511097752678</v>
      </c>
    </row>
  </sheetData>
  <autoFilter ref="A1:Z21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L68"/>
  <sheetViews>
    <sheetView tabSelected="1" zoomScale="110" zoomScaleNormal="110" topLeftCell="A16" workbookViewId="0">
      <selection activeCell="K25" sqref="K25"/>
    </sheetView>
  </sheetViews>
  <sheetFormatPr defaultColWidth="9" defaultRowHeight="13.5"/>
  <cols>
    <col min="2" max="2" width="18.375" customWidth="1"/>
    <col min="3" max="3" width="23.375" customWidth="1"/>
    <col min="4" max="4" width="13.125" customWidth="1"/>
    <col min="5" max="5" width="13.875" customWidth="1"/>
    <col min="6" max="6" width="16.125" customWidth="1"/>
    <col min="7" max="7" width="18.375" customWidth="1"/>
    <col min="8" max="9" width="11.5"/>
    <col min="10" max="10" width="10.5" customWidth="1"/>
    <col min="11" max="11" width="18.375" customWidth="1"/>
    <col min="12" max="13" width="17" customWidth="1"/>
    <col min="14" max="14" width="17.125" customWidth="1"/>
    <col min="15" max="15" width="13.375" customWidth="1"/>
    <col min="16" max="16" width="13.875" customWidth="1"/>
    <col min="17" max="17" width="12.75" style="16" customWidth="1"/>
    <col min="19" max="19" width="14.125" customWidth="1"/>
    <col min="20" max="20" width="16.125" customWidth="1"/>
    <col min="21" max="21" width="18.625" customWidth="1"/>
  </cols>
  <sheetData>
    <row r="1" ht="12" customHeight="1" spans="2:21">
      <c r="B1" s="33" t="s">
        <v>59</v>
      </c>
      <c r="C1" s="33" t="s">
        <v>74</v>
      </c>
      <c r="D1" s="13" t="s">
        <v>75</v>
      </c>
      <c r="E1" s="13" t="s">
        <v>76</v>
      </c>
      <c r="F1" s="13" t="s">
        <v>77</v>
      </c>
      <c r="G1" s="13" t="s">
        <v>78</v>
      </c>
      <c r="H1" s="33" t="s">
        <v>79</v>
      </c>
      <c r="I1" s="33" t="s">
        <v>80</v>
      </c>
      <c r="J1" s="33" t="s">
        <v>81</v>
      </c>
      <c r="K1" s="13" t="s">
        <v>82</v>
      </c>
      <c r="L1" s="33" t="s">
        <v>83</v>
      </c>
      <c r="M1" s="33" t="s">
        <v>84</v>
      </c>
      <c r="N1" s="33" t="s">
        <v>85</v>
      </c>
      <c r="O1" s="123" t="s">
        <v>86</v>
      </c>
      <c r="P1" s="124" t="s">
        <v>87</v>
      </c>
      <c r="Q1" s="123" t="s">
        <v>88</v>
      </c>
      <c r="R1" s="33" t="s">
        <v>89</v>
      </c>
      <c r="S1" s="33" t="s">
        <v>90</v>
      </c>
      <c r="T1" s="33" t="s">
        <v>91</v>
      </c>
      <c r="U1" s="33" t="s">
        <v>92</v>
      </c>
    </row>
    <row r="2" spans="1:21">
      <c r="A2">
        <v>1</v>
      </c>
      <c r="B2" s="91" t="s">
        <v>93</v>
      </c>
      <c r="C2" t="s">
        <v>94</v>
      </c>
      <c r="D2" t="s">
        <v>95</v>
      </c>
      <c r="E2" s="92">
        <v>100.75</v>
      </c>
      <c r="F2" s="93">
        <f>ROUND(G2/E2,-2)</f>
        <v>297800</v>
      </c>
      <c r="G2" s="16">
        <v>30000000</v>
      </c>
      <c r="H2" s="30">
        <v>45813</v>
      </c>
      <c r="I2" s="30">
        <v>45842</v>
      </c>
      <c r="J2" s="30">
        <f ca="1" t="shared" ref="J2:J13" si="0">TODAY()</f>
        <v>46080</v>
      </c>
      <c r="K2" s="125">
        <f>F2*E2</f>
        <v>30003350</v>
      </c>
      <c r="L2" s="126">
        <v>0.003</v>
      </c>
      <c r="M2" s="125">
        <f ca="1">IF(I2&gt;J2,G2,0)</f>
        <v>0</v>
      </c>
      <c r="N2">
        <f>[1]!s_dq_close(B2,H2,1)</f>
        <v>100.75</v>
      </c>
      <c r="O2" s="127">
        <f>101.388</f>
        <v>101.388</v>
      </c>
      <c r="P2" s="125">
        <f t="shared" ref="P2:P7" si="1">(O2-N2)*F2</f>
        <v>189996.400000002</v>
      </c>
      <c r="Q2" s="16">
        <f ca="1">L2/365*(J2-H2)*G2</f>
        <v>65835.6164383562</v>
      </c>
      <c r="R2" s="140">
        <v>0.025</v>
      </c>
      <c r="S2" s="93">
        <f ca="1">R2*G2/365*(J2-H2+1)</f>
        <v>550684.931506849</v>
      </c>
      <c r="T2" s="93">
        <f>R2/365*(I2-H2+1)*G2</f>
        <v>61643.8356164384</v>
      </c>
      <c r="U2" s="125">
        <f>L2/365*(I2-H2)*G2</f>
        <v>7150.68493150685</v>
      </c>
    </row>
    <row r="3" spans="1:21">
      <c r="A3">
        <v>2</v>
      </c>
      <c r="B3" s="91" t="s">
        <v>96</v>
      </c>
      <c r="C3" t="s">
        <v>97</v>
      </c>
      <c r="D3" t="s">
        <v>95</v>
      </c>
      <c r="E3" s="92">
        <v>100.798</v>
      </c>
      <c r="F3" s="93">
        <f>ROUND(G3/E3,-2)</f>
        <v>992100</v>
      </c>
      <c r="G3" s="16">
        <v>100000000</v>
      </c>
      <c r="H3" s="30">
        <v>45813</v>
      </c>
      <c r="I3" s="30">
        <v>45904</v>
      </c>
      <c r="J3" s="30">
        <f ca="1" t="shared" si="0"/>
        <v>46080</v>
      </c>
      <c r="K3" s="125">
        <f>F3*E3</f>
        <v>100001695.8</v>
      </c>
      <c r="L3" s="126">
        <v>0.005</v>
      </c>
      <c r="M3" s="125">
        <f ca="1" t="shared" ref="M3:M35" si="2">IF(I3&gt;J3,G3,0)</f>
        <v>0</v>
      </c>
      <c r="N3">
        <f>[1]!s_dq_close(B3,H3,1)</f>
        <v>100.798</v>
      </c>
      <c r="O3" s="127">
        <v>101</v>
      </c>
      <c r="P3" s="125">
        <f t="shared" si="1"/>
        <v>200404.199999998</v>
      </c>
      <c r="Q3" s="16">
        <f ca="1" t="shared" ref="Q3:Q6" si="3">L3/365*(J3-H3+1)*G3</f>
        <v>367123.287671233</v>
      </c>
      <c r="R3" s="140">
        <v>0.025</v>
      </c>
      <c r="S3" s="93">
        <f ca="1" t="shared" ref="S3:S7" si="4">R3*G3/365*(J3-H3+1)</f>
        <v>1835616.43835616</v>
      </c>
      <c r="T3" s="93">
        <f t="shared" ref="T3:T7" si="5">R3/365*(I3-H3+1)*G3</f>
        <v>630136.98630137</v>
      </c>
      <c r="U3" s="125">
        <f t="shared" ref="U3:U7" si="6">L3/365*(I3-H3)*G3</f>
        <v>124657.534246575</v>
      </c>
    </row>
    <row r="4" ht="12.75" customHeight="1" spans="1:21">
      <c r="A4">
        <v>3</v>
      </c>
      <c r="B4" s="51">
        <v>950245</v>
      </c>
      <c r="C4" t="s">
        <v>98</v>
      </c>
      <c r="D4" t="s">
        <v>95</v>
      </c>
      <c r="E4" s="92">
        <v>111.2378</v>
      </c>
      <c r="F4" s="93">
        <f>G4/E4</f>
        <v>89897.4988717864</v>
      </c>
      <c r="G4" s="16">
        <v>10000000</v>
      </c>
      <c r="H4" s="30">
        <v>45713</v>
      </c>
      <c r="I4" s="30">
        <v>46078</v>
      </c>
      <c r="J4" s="30">
        <f ca="1" t="shared" si="0"/>
        <v>46080</v>
      </c>
      <c r="K4" s="125">
        <f>F4*E4</f>
        <v>10000000</v>
      </c>
      <c r="L4" s="126">
        <v>0</v>
      </c>
      <c r="M4" s="125">
        <f ca="1" t="shared" si="2"/>
        <v>0</v>
      </c>
      <c r="N4">
        <f>[1]!s_dq_close(B4,H4,1)</f>
        <v>110.937</v>
      </c>
      <c r="O4" s="127">
        <f ca="1">[1]!s_dq_close(B4,J4,1)</f>
        <v>113.6104</v>
      </c>
      <c r="P4" s="125">
        <f ca="1" t="shared" si="1"/>
        <v>240331.973483834</v>
      </c>
      <c r="Q4" s="16">
        <f ca="1" t="shared" si="3"/>
        <v>0</v>
      </c>
      <c r="R4" s="140">
        <v>0</v>
      </c>
      <c r="S4" s="93">
        <f ca="1" t="shared" si="4"/>
        <v>0</v>
      </c>
      <c r="T4" s="93">
        <f t="shared" si="5"/>
        <v>0</v>
      </c>
      <c r="U4" s="125">
        <f t="shared" si="6"/>
        <v>0</v>
      </c>
    </row>
    <row r="5" spans="1:21">
      <c r="A5">
        <v>4</v>
      </c>
      <c r="B5" s="51" t="s">
        <v>99</v>
      </c>
      <c r="C5" t="s">
        <v>94</v>
      </c>
      <c r="D5" t="s">
        <v>100</v>
      </c>
      <c r="E5" s="92">
        <v>100.875</v>
      </c>
      <c r="F5" s="93">
        <f>G5/E5</f>
        <v>991325.898389095</v>
      </c>
      <c r="G5" s="16">
        <v>100000000</v>
      </c>
      <c r="H5" s="30">
        <v>45818</v>
      </c>
      <c r="I5" s="30">
        <v>45855</v>
      </c>
      <c r="J5" s="30">
        <f ca="1" t="shared" si="0"/>
        <v>46080</v>
      </c>
      <c r="K5" s="125">
        <f t="shared" ref="K5:K15" si="7">F5*E5</f>
        <v>100000000</v>
      </c>
      <c r="L5" s="126">
        <v>0.005</v>
      </c>
      <c r="M5" s="125">
        <f ca="1" t="shared" si="2"/>
        <v>0</v>
      </c>
      <c r="N5">
        <f>[1]!s_dq_close(B5,H5,1)</f>
        <v>100.87</v>
      </c>
      <c r="O5" s="127">
        <f>101.36</f>
        <v>101.36</v>
      </c>
      <c r="P5" s="125">
        <f t="shared" si="1"/>
        <v>485749.690210652</v>
      </c>
      <c r="Q5" s="16">
        <f ca="1" t="shared" si="3"/>
        <v>360273.97260274</v>
      </c>
      <c r="R5" s="140">
        <v>0.025</v>
      </c>
      <c r="S5" s="141">
        <f ca="1" t="shared" si="4"/>
        <v>1801369.8630137</v>
      </c>
      <c r="T5" s="141">
        <f t="shared" si="5"/>
        <v>260273.97260274</v>
      </c>
      <c r="U5" s="125">
        <f t="shared" si="6"/>
        <v>50684.9315068493</v>
      </c>
    </row>
    <row r="6" s="71" customFormat="1" ht="14.25" spans="1:38">
      <c r="A6">
        <v>5</v>
      </c>
      <c r="B6" s="94" t="s">
        <v>101</v>
      </c>
      <c r="C6" s="95" t="s">
        <v>102</v>
      </c>
      <c r="D6" t="s">
        <v>95</v>
      </c>
      <c r="E6" s="96">
        <v>136.553</v>
      </c>
      <c r="F6" s="97">
        <v>2197000</v>
      </c>
      <c r="G6" s="34">
        <v>300000000</v>
      </c>
      <c r="H6" s="35">
        <v>45820</v>
      </c>
      <c r="I6" s="35">
        <v>45912</v>
      </c>
      <c r="J6" s="35">
        <f ca="1" t="shared" si="0"/>
        <v>46080</v>
      </c>
      <c r="K6" s="128">
        <f t="shared" si="7"/>
        <v>300006941</v>
      </c>
      <c r="L6" s="129">
        <v>0.003</v>
      </c>
      <c r="M6" s="125">
        <f ca="1" t="shared" si="2"/>
        <v>0</v>
      </c>
      <c r="N6">
        <f>[1]!s_dq_close(B6,H6,1)</f>
        <v>136.653</v>
      </c>
      <c r="O6" s="130">
        <f>s_dq_close(B6,I6,1)</f>
        <v>135.525</v>
      </c>
      <c r="P6" s="125">
        <f t="shared" si="1"/>
        <v>-2478215.99999997</v>
      </c>
      <c r="Q6" s="16">
        <f ca="1" t="shared" si="3"/>
        <v>643561.643835617</v>
      </c>
      <c r="R6" s="140">
        <v>0.02</v>
      </c>
      <c r="S6" s="16">
        <f ca="1" t="shared" si="4"/>
        <v>4290410.95890411</v>
      </c>
      <c r="T6" s="16">
        <f t="shared" si="5"/>
        <v>1528767.12328767</v>
      </c>
      <c r="U6" s="125">
        <f t="shared" si="6"/>
        <v>226849.315068493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customFormat="1" spans="1:21">
      <c r="A7">
        <v>6</v>
      </c>
      <c r="B7" s="91" t="s">
        <v>103</v>
      </c>
      <c r="C7" s="32" t="s">
        <v>104</v>
      </c>
      <c r="D7" t="s">
        <v>95</v>
      </c>
      <c r="E7" s="92">
        <v>100</v>
      </c>
      <c r="F7" s="93">
        <v>200000</v>
      </c>
      <c r="G7" s="16">
        <f t="shared" ref="G7:G12" si="8">F7*E7</f>
        <v>20000000</v>
      </c>
      <c r="H7" s="30">
        <v>45855</v>
      </c>
      <c r="I7" s="30">
        <v>45947</v>
      </c>
      <c r="J7" s="30">
        <f ca="1" t="shared" si="0"/>
        <v>46080</v>
      </c>
      <c r="K7" s="125">
        <f t="shared" si="7"/>
        <v>20000000</v>
      </c>
      <c r="L7" s="126">
        <v>0.005</v>
      </c>
      <c r="M7" s="125">
        <f ca="1" t="shared" si="2"/>
        <v>0</v>
      </c>
      <c r="N7">
        <f>[1]!s_dq_close(B7,H7,1)</f>
        <v>100.179</v>
      </c>
      <c r="O7" s="127">
        <f>s_dq_close(B7,I7,1)</f>
        <v>99.46</v>
      </c>
      <c r="P7" s="125">
        <f t="shared" si="1"/>
        <v>-143800.000000002</v>
      </c>
      <c r="Q7" s="16">
        <f ca="1" t="shared" ref="Q7:Q13" si="9">L7/365*(J7-H7+1)*G7</f>
        <v>61917.8082191781</v>
      </c>
      <c r="R7" s="140">
        <v>0.025</v>
      </c>
      <c r="S7" s="16">
        <f ca="1" t="shared" si="4"/>
        <v>309589.04109589</v>
      </c>
      <c r="T7" s="16">
        <f t="shared" si="5"/>
        <v>127397.260273973</v>
      </c>
      <c r="U7" s="125">
        <f t="shared" si="6"/>
        <v>25205.4794520548</v>
      </c>
    </row>
    <row r="8" customFormat="1" spans="1:21">
      <c r="A8">
        <v>7</v>
      </c>
      <c r="B8" s="91" t="s">
        <v>105</v>
      </c>
      <c r="C8" s="32" t="s">
        <v>106</v>
      </c>
      <c r="D8" t="s">
        <v>95</v>
      </c>
      <c r="E8" s="92">
        <v>100</v>
      </c>
      <c r="F8" s="93">
        <v>500000</v>
      </c>
      <c r="G8" s="16">
        <f t="shared" si="8"/>
        <v>50000000</v>
      </c>
      <c r="H8" s="30">
        <v>45855</v>
      </c>
      <c r="I8" s="30">
        <v>45947</v>
      </c>
      <c r="J8" s="30">
        <f ca="1" t="shared" si="0"/>
        <v>46080</v>
      </c>
      <c r="K8" s="125">
        <f t="shared" si="7"/>
        <v>50000000</v>
      </c>
      <c r="L8" s="126">
        <v>0.005</v>
      </c>
      <c r="M8" s="125">
        <f ca="1" t="shared" si="2"/>
        <v>0</v>
      </c>
      <c r="N8">
        <f>[1]!s_dq_close(B8,H8,1)</f>
        <v>100.105</v>
      </c>
      <c r="O8" s="127">
        <f>s_dq_close(B8,I8,1)</f>
        <v>99.368</v>
      </c>
      <c r="P8" s="125">
        <f t="shared" ref="P8:P12" si="10">(O8-N8)*F8</f>
        <v>-368500.000000004</v>
      </c>
      <c r="Q8" s="16">
        <f ca="1" t="shared" si="9"/>
        <v>154794.520547945</v>
      </c>
      <c r="R8" s="140">
        <v>0.025</v>
      </c>
      <c r="S8" s="16">
        <f ca="1" t="shared" ref="S8:S13" si="11">R8*G8/365*(J8-H8+1)</f>
        <v>773972.602739726</v>
      </c>
      <c r="T8" s="16">
        <f t="shared" ref="T8:T13" si="12">R8/365*(I8-H8+1)*G8</f>
        <v>318493.150684932</v>
      </c>
      <c r="U8" s="125">
        <f t="shared" ref="U8:U13" si="13">L8/365*(I8-H8)*G8</f>
        <v>63013.698630137</v>
      </c>
    </row>
    <row r="9" customFormat="1" spans="1:21">
      <c r="A9">
        <v>8</v>
      </c>
      <c r="B9" s="91" t="s">
        <v>107</v>
      </c>
      <c r="C9" s="32" t="s">
        <v>108</v>
      </c>
      <c r="D9" t="s">
        <v>95</v>
      </c>
      <c r="E9" s="92">
        <v>100.115</v>
      </c>
      <c r="F9" s="93">
        <v>1000000</v>
      </c>
      <c r="G9" s="16">
        <f t="shared" si="8"/>
        <v>100115000</v>
      </c>
      <c r="H9" s="30">
        <v>45855</v>
      </c>
      <c r="I9" s="30">
        <v>45947</v>
      </c>
      <c r="J9" s="30">
        <f ca="1" t="shared" si="0"/>
        <v>46080</v>
      </c>
      <c r="K9" s="125">
        <f t="shared" si="7"/>
        <v>100115000</v>
      </c>
      <c r="L9" s="126">
        <v>0.005</v>
      </c>
      <c r="M9" s="125">
        <f ca="1" t="shared" si="2"/>
        <v>0</v>
      </c>
      <c r="N9">
        <f>s_dq_close(B9,H9,1)</f>
        <v>100.115</v>
      </c>
      <c r="O9" s="127">
        <f>s_dq_close(B9,I9,1)</f>
        <v>99.428</v>
      </c>
      <c r="P9" s="125">
        <f t="shared" si="10"/>
        <v>-686999.999999998</v>
      </c>
      <c r="Q9" s="16">
        <f ca="1" t="shared" si="9"/>
        <v>309945.068493151</v>
      </c>
      <c r="R9" s="140">
        <v>0.025</v>
      </c>
      <c r="S9" s="16">
        <f ca="1" t="shared" si="11"/>
        <v>1549725.34246575</v>
      </c>
      <c r="T9" s="16">
        <f t="shared" si="12"/>
        <v>637718.835616438</v>
      </c>
      <c r="U9" s="125">
        <f t="shared" si="13"/>
        <v>126172.328767123</v>
      </c>
    </row>
    <row r="10" customFormat="1" spans="1:21">
      <c r="A10">
        <v>9</v>
      </c>
      <c r="B10" s="98" t="s">
        <v>105</v>
      </c>
      <c r="C10" s="99" t="s">
        <v>106</v>
      </c>
      <c r="D10" t="s">
        <v>100</v>
      </c>
      <c r="E10" s="100">
        <v>100.105</v>
      </c>
      <c r="F10" s="101">
        <v>1000000</v>
      </c>
      <c r="G10" s="23">
        <f t="shared" si="8"/>
        <v>100105000</v>
      </c>
      <c r="H10" s="36">
        <v>45855</v>
      </c>
      <c r="I10" s="36">
        <v>45910</v>
      </c>
      <c r="J10" s="30">
        <f ca="1" t="shared" si="0"/>
        <v>46080</v>
      </c>
      <c r="K10" s="125">
        <f t="shared" si="7"/>
        <v>100105000</v>
      </c>
      <c r="L10" s="126">
        <v>0.005</v>
      </c>
      <c r="M10" s="125">
        <f ca="1" t="shared" si="2"/>
        <v>0</v>
      </c>
      <c r="N10">
        <f>[1]!s_dq_close(B10,H10,1)</f>
        <v>100.105</v>
      </c>
      <c r="O10" s="127">
        <f>s_dq_close(B10,I10,1)</f>
        <v>99.397</v>
      </c>
      <c r="P10" s="125">
        <f t="shared" si="10"/>
        <v>-707999.999999998</v>
      </c>
      <c r="Q10" s="16">
        <f ca="1" t="shared" si="9"/>
        <v>309914.109589041</v>
      </c>
      <c r="R10" s="140">
        <v>0.025</v>
      </c>
      <c r="S10" s="16">
        <f ca="1" t="shared" si="11"/>
        <v>1549570.54794521</v>
      </c>
      <c r="T10" s="16">
        <f t="shared" si="12"/>
        <v>383964.383561644</v>
      </c>
      <c r="U10" s="125">
        <f t="shared" si="13"/>
        <v>75421.5753424658</v>
      </c>
    </row>
    <row r="11" customFormat="1" spans="1:21">
      <c r="A11">
        <v>10</v>
      </c>
      <c r="B11" s="102" t="s">
        <v>109</v>
      </c>
      <c r="C11" s="103" t="s">
        <v>110</v>
      </c>
      <c r="D11" t="s">
        <v>95</v>
      </c>
      <c r="E11" s="92">
        <v>100.203</v>
      </c>
      <c r="F11" s="93">
        <v>1000000</v>
      </c>
      <c r="G11" s="16">
        <f t="shared" si="8"/>
        <v>100203000</v>
      </c>
      <c r="H11" s="30">
        <v>45856</v>
      </c>
      <c r="I11" s="30">
        <v>45948</v>
      </c>
      <c r="J11" s="30">
        <f ca="1" t="shared" si="0"/>
        <v>46080</v>
      </c>
      <c r="K11" s="125">
        <f t="shared" si="7"/>
        <v>100203000</v>
      </c>
      <c r="L11" s="126">
        <v>0.005</v>
      </c>
      <c r="M11" s="125">
        <f ca="1" t="shared" si="2"/>
        <v>0</v>
      </c>
      <c r="N11">
        <f>s_dq_close(B11,H11,1)</f>
        <v>100.205</v>
      </c>
      <c r="O11" s="127">
        <f>s_dq_close(B11,I11,1)</f>
        <v>99.374</v>
      </c>
      <c r="P11" s="125">
        <f t="shared" si="10"/>
        <v>-831000.000000003</v>
      </c>
      <c r="Q11" s="16">
        <f ca="1" t="shared" si="9"/>
        <v>308844.863013699</v>
      </c>
      <c r="R11" s="140">
        <v>0.025</v>
      </c>
      <c r="S11" s="16">
        <f ca="1" t="shared" si="11"/>
        <v>1544224.31506849</v>
      </c>
      <c r="T11" s="16">
        <f t="shared" si="12"/>
        <v>638279.383561644</v>
      </c>
      <c r="U11" s="125">
        <f t="shared" si="13"/>
        <v>126283.232876712</v>
      </c>
    </row>
    <row r="12" customFormat="1" spans="1:21">
      <c r="A12">
        <v>11</v>
      </c>
      <c r="B12" s="91" t="s">
        <v>109</v>
      </c>
      <c r="C12" s="32" t="s">
        <v>110</v>
      </c>
      <c r="D12" t="s">
        <v>95</v>
      </c>
      <c r="E12" s="104">
        <v>100.203</v>
      </c>
      <c r="F12" s="105">
        <v>500000</v>
      </c>
      <c r="G12" s="37">
        <f t="shared" si="8"/>
        <v>50101500</v>
      </c>
      <c r="H12" s="30">
        <v>45856</v>
      </c>
      <c r="I12" s="30">
        <v>45870</v>
      </c>
      <c r="J12" s="30">
        <f ca="1" t="shared" si="0"/>
        <v>46080</v>
      </c>
      <c r="K12" s="125">
        <f t="shared" si="7"/>
        <v>50101500</v>
      </c>
      <c r="L12" s="126">
        <v>0.003</v>
      </c>
      <c r="M12" s="125">
        <f ca="1" t="shared" si="2"/>
        <v>0</v>
      </c>
      <c r="N12">
        <f>s_dq_close(B12,H12,1)</f>
        <v>100.205</v>
      </c>
      <c r="O12" s="127">
        <v>99.79</v>
      </c>
      <c r="P12" s="125">
        <f t="shared" si="10"/>
        <v>-207499.999999996</v>
      </c>
      <c r="Q12" s="16">
        <f ca="1" t="shared" si="9"/>
        <v>92653.4589041096</v>
      </c>
      <c r="R12" s="140">
        <v>0.025</v>
      </c>
      <c r="S12" s="16">
        <f ca="1" t="shared" si="11"/>
        <v>772112.157534247</v>
      </c>
      <c r="T12" s="16">
        <f t="shared" si="12"/>
        <v>51474.1438356164</v>
      </c>
      <c r="U12" s="125">
        <f t="shared" si="13"/>
        <v>5765.10410958904</v>
      </c>
    </row>
    <row r="13" s="90" customFormat="1" spans="1:21">
      <c r="A13" s="90">
        <v>12</v>
      </c>
      <c r="B13" s="106" t="s">
        <v>109</v>
      </c>
      <c r="C13" s="107" t="s">
        <v>110</v>
      </c>
      <c r="D13" t="s">
        <v>95</v>
      </c>
      <c r="E13" s="108">
        <v>100.14</v>
      </c>
      <c r="F13" s="109">
        <v>500000</v>
      </c>
      <c r="G13" s="38">
        <f>E13*F13</f>
        <v>50070000</v>
      </c>
      <c r="H13" s="39">
        <v>45859</v>
      </c>
      <c r="I13" s="39">
        <v>45870</v>
      </c>
      <c r="J13" s="39">
        <f ca="1" t="shared" si="0"/>
        <v>46080</v>
      </c>
      <c r="K13" s="131">
        <f t="shared" si="7"/>
        <v>50070000</v>
      </c>
      <c r="L13" s="132">
        <v>0.003</v>
      </c>
      <c r="M13" s="125">
        <f ca="1" t="shared" si="2"/>
        <v>0</v>
      </c>
      <c r="N13" s="90">
        <f>s_dq_close(B13,H13,1)</f>
        <v>100.13</v>
      </c>
      <c r="O13" s="127">
        <v>99.79</v>
      </c>
      <c r="P13" s="131">
        <f>(O13-N13)*F14</f>
        <v>-749189.999999976</v>
      </c>
      <c r="Q13" s="31">
        <f ca="1" t="shared" si="9"/>
        <v>91360.602739726</v>
      </c>
      <c r="R13" s="142">
        <v>0.025</v>
      </c>
      <c r="S13" s="31">
        <f ca="1" t="shared" si="11"/>
        <v>761338.356164383</v>
      </c>
      <c r="T13" s="31">
        <f t="shared" si="12"/>
        <v>41153.4246575342</v>
      </c>
      <c r="U13" s="131">
        <f t="shared" si="13"/>
        <v>4526.87671232877</v>
      </c>
    </row>
    <row r="14" customFormat="1" spans="1:21">
      <c r="A14">
        <v>13</v>
      </c>
      <c r="B14" s="91" t="s">
        <v>101</v>
      </c>
      <c r="C14" s="32" t="s">
        <v>102</v>
      </c>
      <c r="D14" t="s">
        <v>95</v>
      </c>
      <c r="E14" s="92">
        <v>136.144</v>
      </c>
      <c r="F14" s="93">
        <v>2203500</v>
      </c>
      <c r="G14" s="16">
        <f>F14*E14</f>
        <v>299993304</v>
      </c>
      <c r="H14" s="30">
        <v>45861</v>
      </c>
      <c r="I14" s="30">
        <v>45930</v>
      </c>
      <c r="J14" s="39">
        <f ca="1" t="shared" ref="J14:J23" si="14">TODAY()</f>
        <v>46080</v>
      </c>
      <c r="K14" s="131">
        <f t="shared" si="7"/>
        <v>299993304</v>
      </c>
      <c r="L14" s="126">
        <v>0.005</v>
      </c>
      <c r="M14" s="125">
        <f ca="1" t="shared" si="2"/>
        <v>0</v>
      </c>
      <c r="O14" s="127">
        <v>134.254</v>
      </c>
      <c r="P14" s="125"/>
      <c r="Q14" s="16"/>
      <c r="R14" s="140"/>
      <c r="S14" s="16">
        <f ca="1">SUM(S2:S13)</f>
        <v>15738614.5547945</v>
      </c>
      <c r="T14" s="16">
        <f>SUM(T2:T13)</f>
        <v>4679302.5</v>
      </c>
      <c r="U14" s="125">
        <f>SUM(U2:U13)</f>
        <v>835730.761643836</v>
      </c>
    </row>
    <row r="15" s="71" customFormat="1" ht="14.25" spans="1:21">
      <c r="A15" s="71">
        <v>14</v>
      </c>
      <c r="B15" s="110" t="s">
        <v>101</v>
      </c>
      <c r="C15" s="111" t="s">
        <v>102</v>
      </c>
      <c r="D15" s="71" t="s">
        <v>95</v>
      </c>
      <c r="E15" s="112">
        <v>135.943</v>
      </c>
      <c r="F15" s="113">
        <v>1472000</v>
      </c>
      <c r="G15" s="40">
        <f>F15*E15</f>
        <v>200108096</v>
      </c>
      <c r="H15" s="41">
        <v>45867</v>
      </c>
      <c r="I15" s="41">
        <v>45930</v>
      </c>
      <c r="J15" s="39">
        <f ca="1" t="shared" si="14"/>
        <v>46080</v>
      </c>
      <c r="K15" s="133">
        <f t="shared" si="7"/>
        <v>200108096</v>
      </c>
      <c r="L15" s="134">
        <v>0.007</v>
      </c>
      <c r="M15" s="125">
        <f ca="1" t="shared" si="2"/>
        <v>0</v>
      </c>
      <c r="O15" s="135">
        <v>134.254</v>
      </c>
      <c r="P15" s="133"/>
      <c r="Q15" s="40"/>
      <c r="R15" s="143"/>
      <c r="S15" s="40"/>
      <c r="T15" s="40"/>
      <c r="U15" s="133"/>
    </row>
    <row r="16" spans="1:15">
      <c r="A16">
        <v>15</v>
      </c>
      <c r="B16" t="s">
        <v>111</v>
      </c>
      <c r="C16" t="s">
        <v>112</v>
      </c>
      <c r="D16" t="s">
        <v>95</v>
      </c>
      <c r="E16">
        <v>100.945</v>
      </c>
      <c r="F16" s="31">
        <v>500000</v>
      </c>
      <c r="G16" s="16">
        <f>F16*E16</f>
        <v>50472500</v>
      </c>
      <c r="H16" s="30">
        <v>45870</v>
      </c>
      <c r="I16" s="30">
        <v>45962</v>
      </c>
      <c r="J16" s="39">
        <f ca="1" t="shared" si="14"/>
        <v>46080</v>
      </c>
      <c r="K16" s="16">
        <f>G16</f>
        <v>50472500</v>
      </c>
      <c r="L16" s="126">
        <v>0.005</v>
      </c>
      <c r="M16" s="125">
        <f ca="1" t="shared" si="2"/>
        <v>0</v>
      </c>
      <c r="O16" s="136">
        <v>101.044</v>
      </c>
    </row>
    <row r="17" spans="1:15">
      <c r="A17">
        <v>16</v>
      </c>
      <c r="B17" t="s">
        <v>113</v>
      </c>
      <c r="C17" t="s">
        <v>114</v>
      </c>
      <c r="D17" t="s">
        <v>95</v>
      </c>
      <c r="E17" s="92">
        <v>100</v>
      </c>
      <c r="F17" s="16">
        <v>500000</v>
      </c>
      <c r="G17" s="16">
        <f>F17*E17</f>
        <v>50000000</v>
      </c>
      <c r="H17" s="30">
        <v>45924</v>
      </c>
      <c r="I17" s="30">
        <v>45939</v>
      </c>
      <c r="J17" s="39">
        <f ca="1" t="shared" si="14"/>
        <v>46080</v>
      </c>
      <c r="K17" s="16">
        <f>G17</f>
        <v>50000000</v>
      </c>
      <c r="L17" s="126">
        <v>0.006</v>
      </c>
      <c r="M17" s="125">
        <f ca="1" t="shared" si="2"/>
        <v>0</v>
      </c>
      <c r="O17">
        <v>99.606</v>
      </c>
    </row>
    <row r="18" s="71" customFormat="1" ht="14.25" spans="1:17">
      <c r="A18" s="71">
        <v>17</v>
      </c>
      <c r="B18" s="71" t="s">
        <v>113</v>
      </c>
      <c r="C18" s="71" t="s">
        <v>114</v>
      </c>
      <c r="D18" s="71" t="s">
        <v>95</v>
      </c>
      <c r="E18" s="112">
        <v>100</v>
      </c>
      <c r="F18" s="40">
        <v>500000</v>
      </c>
      <c r="G18" s="40">
        <f>F18*E18</f>
        <v>50000000</v>
      </c>
      <c r="H18" s="41">
        <v>45924</v>
      </c>
      <c r="I18" s="41">
        <v>46015</v>
      </c>
      <c r="J18" s="39">
        <f ca="1" t="shared" si="14"/>
        <v>46080</v>
      </c>
      <c r="K18" s="40">
        <f>G18</f>
        <v>50000000</v>
      </c>
      <c r="L18" s="134">
        <v>0.006</v>
      </c>
      <c r="M18" s="125">
        <f ca="1" t="shared" si="2"/>
        <v>0</v>
      </c>
      <c r="Q18" s="40"/>
    </row>
    <row r="19" customFormat="1" spans="1:17">
      <c r="A19">
        <v>18</v>
      </c>
      <c r="B19" t="s">
        <v>115</v>
      </c>
      <c r="C19" t="s">
        <v>116</v>
      </c>
      <c r="D19" s="90" t="s">
        <v>95</v>
      </c>
      <c r="E19" s="114">
        <v>99.72</v>
      </c>
      <c r="F19" s="115">
        <v>3000000</v>
      </c>
      <c r="G19" s="16">
        <v>300000000</v>
      </c>
      <c r="H19" s="30">
        <v>45924</v>
      </c>
      <c r="I19" s="30">
        <v>46015</v>
      </c>
      <c r="J19" s="39">
        <f ca="1" t="shared" si="14"/>
        <v>46080</v>
      </c>
      <c r="K19" s="16"/>
      <c r="L19" s="126"/>
      <c r="M19" s="125">
        <f ca="1" t="shared" si="2"/>
        <v>0</v>
      </c>
      <c r="Q19" s="16"/>
    </row>
    <row r="20" customFormat="1" spans="1:17">
      <c r="A20">
        <v>19</v>
      </c>
      <c r="B20" t="s">
        <v>117</v>
      </c>
      <c r="C20" t="s">
        <v>118</v>
      </c>
      <c r="D20" s="90" t="s">
        <v>95</v>
      </c>
      <c r="E20" s="116">
        <v>99.689</v>
      </c>
      <c r="F20" s="115">
        <v>3000000</v>
      </c>
      <c r="G20" s="16">
        <v>300000000</v>
      </c>
      <c r="H20" s="30">
        <v>45924</v>
      </c>
      <c r="I20" s="30">
        <v>46015</v>
      </c>
      <c r="J20" s="39">
        <f ca="1" t="shared" si="14"/>
        <v>46080</v>
      </c>
      <c r="K20" s="16"/>
      <c r="L20" s="126"/>
      <c r="M20" s="125">
        <f ca="1" t="shared" si="2"/>
        <v>0</v>
      </c>
      <c r="O20">
        <v>100.1</v>
      </c>
      <c r="P20" t="s">
        <v>119</v>
      </c>
      <c r="Q20" s="16"/>
    </row>
    <row r="21" customFormat="1" ht="14.25" spans="1:17">
      <c r="A21" s="71">
        <v>20</v>
      </c>
      <c r="B21" t="s">
        <v>120</v>
      </c>
      <c r="C21" t="s">
        <v>121</v>
      </c>
      <c r="D21" t="s">
        <v>95</v>
      </c>
      <c r="E21" s="114">
        <v>99.531</v>
      </c>
      <c r="F21" s="115">
        <v>500000</v>
      </c>
      <c r="G21" s="16">
        <v>50000000</v>
      </c>
      <c r="H21" s="30">
        <v>45924</v>
      </c>
      <c r="I21" s="30">
        <v>46015</v>
      </c>
      <c r="J21" s="39">
        <f ca="1" t="shared" si="14"/>
        <v>46080</v>
      </c>
      <c r="K21" s="16"/>
      <c r="L21" s="126"/>
      <c r="M21" s="125">
        <f ca="1" t="shared" si="2"/>
        <v>0</v>
      </c>
      <c r="Q21" s="16"/>
    </row>
    <row r="22" customFormat="1" spans="1:17">
      <c r="A22">
        <v>21</v>
      </c>
      <c r="B22" t="s">
        <v>120</v>
      </c>
      <c r="C22" t="s">
        <v>121</v>
      </c>
      <c r="D22" t="s">
        <v>95</v>
      </c>
      <c r="E22" s="114">
        <v>99.531</v>
      </c>
      <c r="F22" s="115">
        <v>500000</v>
      </c>
      <c r="G22" s="16">
        <v>50000000</v>
      </c>
      <c r="H22" s="30">
        <v>45924</v>
      </c>
      <c r="I22" s="30">
        <v>45939</v>
      </c>
      <c r="J22" s="39">
        <f ca="1" t="shared" si="14"/>
        <v>46080</v>
      </c>
      <c r="K22" s="16"/>
      <c r="L22" s="126"/>
      <c r="M22" s="125">
        <f ca="1" t="shared" si="2"/>
        <v>0</v>
      </c>
      <c r="O22" s="137">
        <v>99.745</v>
      </c>
      <c r="Q22" s="16"/>
    </row>
    <row r="23" customFormat="1" spans="1:17">
      <c r="A23" t="s">
        <v>122</v>
      </c>
      <c r="B23" t="s">
        <v>101</v>
      </c>
      <c r="C23" s="32" t="s">
        <v>102</v>
      </c>
      <c r="D23" t="s">
        <v>95</v>
      </c>
      <c r="E23" s="114">
        <v>135.525</v>
      </c>
      <c r="F23" s="97">
        <v>2197000</v>
      </c>
      <c r="G23" s="34">
        <f>F23*E23</f>
        <v>297748425</v>
      </c>
      <c r="H23" s="30">
        <v>45912</v>
      </c>
      <c r="I23" s="30">
        <v>46003</v>
      </c>
      <c r="J23" s="39">
        <f ca="1" t="shared" si="14"/>
        <v>46080</v>
      </c>
      <c r="K23" s="131">
        <f>F23*E23</f>
        <v>297748425</v>
      </c>
      <c r="L23" s="126">
        <v>0.005</v>
      </c>
      <c r="M23" s="125">
        <f ca="1" t="shared" si="2"/>
        <v>0</v>
      </c>
      <c r="O23" s="90"/>
      <c r="Q23" s="16"/>
    </row>
    <row r="24" customFormat="1" spans="1:21">
      <c r="A24" t="s">
        <v>123</v>
      </c>
      <c r="B24" s="91" t="s">
        <v>101</v>
      </c>
      <c r="C24" s="32" t="s">
        <v>102</v>
      </c>
      <c r="D24" t="s">
        <v>95</v>
      </c>
      <c r="E24" s="100">
        <v>134.254</v>
      </c>
      <c r="F24" s="93">
        <v>2203500</v>
      </c>
      <c r="G24" s="16">
        <f t="shared" ref="G24:G40" si="15">F24*E24</f>
        <v>295828689</v>
      </c>
      <c r="H24" s="30">
        <v>45930</v>
      </c>
      <c r="I24" s="30">
        <v>45960</v>
      </c>
      <c r="J24" s="39">
        <f ca="1" t="shared" ref="J24:J35" si="16">TODAY()</f>
        <v>46080</v>
      </c>
      <c r="K24" s="131">
        <f>F24*E24</f>
        <v>295828689</v>
      </c>
      <c r="L24" s="126">
        <v>0.005</v>
      </c>
      <c r="M24" s="125">
        <f ca="1" t="shared" si="2"/>
        <v>0</v>
      </c>
      <c r="O24" s="127">
        <v>135.1</v>
      </c>
      <c r="P24" s="125"/>
      <c r="Q24" s="16"/>
      <c r="R24" s="140"/>
      <c r="S24" s="16">
        <f ca="1" t="shared" ref="S24:U24" si="17">SUM(S7:S18)</f>
        <v>22999146.9178082</v>
      </c>
      <c r="T24" s="16">
        <f t="shared" si="17"/>
        <v>6877783.08219178</v>
      </c>
      <c r="U24" s="125">
        <f t="shared" si="17"/>
        <v>1262119.05753425</v>
      </c>
    </row>
    <row r="25" s="71" customFormat="1" ht="14.25" spans="1:21">
      <c r="A25" s="71" t="s">
        <v>124</v>
      </c>
      <c r="B25" s="110" t="s">
        <v>101</v>
      </c>
      <c r="C25" s="111" t="s">
        <v>102</v>
      </c>
      <c r="D25" s="71" t="s">
        <v>95</v>
      </c>
      <c r="E25" s="117">
        <v>134.254</v>
      </c>
      <c r="F25" s="113">
        <v>1472000</v>
      </c>
      <c r="G25" s="40">
        <f t="shared" si="15"/>
        <v>197621888</v>
      </c>
      <c r="H25" s="41">
        <v>45930</v>
      </c>
      <c r="I25" s="41">
        <v>45991</v>
      </c>
      <c r="J25" s="39">
        <f ca="1" t="shared" si="16"/>
        <v>46080</v>
      </c>
      <c r="K25" s="131">
        <f>F25*E25</f>
        <v>197621888</v>
      </c>
      <c r="L25" s="134">
        <v>0.005</v>
      </c>
      <c r="M25" s="125">
        <f ca="1" t="shared" si="2"/>
        <v>0</v>
      </c>
      <c r="O25" s="138">
        <v>134.85</v>
      </c>
      <c r="P25" s="133"/>
      <c r="Q25" s="40"/>
      <c r="R25" s="143"/>
      <c r="S25" s="40"/>
      <c r="T25" s="40"/>
      <c r="U25" s="133"/>
    </row>
    <row r="26" spans="1:13">
      <c r="A26" t="s">
        <v>125</v>
      </c>
      <c r="B26" s="91" t="s">
        <v>103</v>
      </c>
      <c r="C26" s="32" t="s">
        <v>104</v>
      </c>
      <c r="D26" t="s">
        <v>95</v>
      </c>
      <c r="E26" s="92">
        <f>s_dq_close(B26,H26,1)</f>
        <v>99.46</v>
      </c>
      <c r="F26" s="93">
        <v>200000</v>
      </c>
      <c r="G26" s="16">
        <f t="shared" si="15"/>
        <v>19892000</v>
      </c>
      <c r="H26" s="30">
        <v>45947</v>
      </c>
      <c r="I26" s="30">
        <v>46039</v>
      </c>
      <c r="J26" s="39">
        <f ca="1" t="shared" si="16"/>
        <v>46080</v>
      </c>
      <c r="K26" s="131">
        <f>F26*E26</f>
        <v>19892000</v>
      </c>
      <c r="M26" s="125">
        <f ca="1" t="shared" si="2"/>
        <v>0</v>
      </c>
    </row>
    <row r="27" spans="1:13">
      <c r="A27" t="s">
        <v>126</v>
      </c>
      <c r="B27" s="91" t="s">
        <v>105</v>
      </c>
      <c r="C27" s="32" t="s">
        <v>106</v>
      </c>
      <c r="D27" t="s">
        <v>95</v>
      </c>
      <c r="E27" s="92">
        <f>s_dq_close(B27,H27,1)</f>
        <v>99.368</v>
      </c>
      <c r="F27" s="93">
        <v>500000</v>
      </c>
      <c r="G27" s="16">
        <f t="shared" si="15"/>
        <v>49684000</v>
      </c>
      <c r="H27" s="30">
        <v>45947</v>
      </c>
      <c r="I27" s="30">
        <v>46039</v>
      </c>
      <c r="J27" s="39">
        <f ca="1" t="shared" si="16"/>
        <v>46080</v>
      </c>
      <c r="K27" s="131">
        <f t="shared" ref="K27:K32" si="18">F27*E27</f>
        <v>49684000</v>
      </c>
      <c r="M27" s="125">
        <f ca="1" t="shared" si="2"/>
        <v>0</v>
      </c>
    </row>
    <row r="28" spans="1:13">
      <c r="A28" t="s">
        <v>127</v>
      </c>
      <c r="B28" s="91" t="s">
        <v>107</v>
      </c>
      <c r="C28" s="32" t="s">
        <v>108</v>
      </c>
      <c r="D28" t="s">
        <v>95</v>
      </c>
      <c r="E28" s="92">
        <f>s_dq_close(B28,H28,1)</f>
        <v>99.428</v>
      </c>
      <c r="F28" s="93">
        <v>1000000</v>
      </c>
      <c r="G28" s="16">
        <f t="shared" si="15"/>
        <v>99428000</v>
      </c>
      <c r="H28" s="30">
        <v>45947</v>
      </c>
      <c r="I28" s="30">
        <v>46039</v>
      </c>
      <c r="J28" s="39">
        <f ca="1" t="shared" si="16"/>
        <v>46080</v>
      </c>
      <c r="K28" s="131">
        <f t="shared" si="18"/>
        <v>99428000</v>
      </c>
      <c r="M28" s="125">
        <f ca="1" t="shared" si="2"/>
        <v>0</v>
      </c>
    </row>
    <row r="29" ht="15" customHeight="1" spans="1:15">
      <c r="A29" t="s">
        <v>128</v>
      </c>
      <c r="B29" s="102" t="s">
        <v>109</v>
      </c>
      <c r="C29" s="103" t="s">
        <v>110</v>
      </c>
      <c r="D29" t="s">
        <v>95</v>
      </c>
      <c r="E29" s="92">
        <f>s_dq_close(B29,H29,1)</f>
        <v>99.374</v>
      </c>
      <c r="F29" s="93">
        <v>1000000</v>
      </c>
      <c r="G29" s="16">
        <f t="shared" si="15"/>
        <v>99374000</v>
      </c>
      <c r="H29" s="30">
        <v>45948</v>
      </c>
      <c r="I29" s="30">
        <v>45979</v>
      </c>
      <c r="J29" s="39">
        <f ca="1" t="shared" si="16"/>
        <v>46080</v>
      </c>
      <c r="K29" s="131">
        <f t="shared" si="18"/>
        <v>99374000</v>
      </c>
      <c r="L29" s="126">
        <v>0.005</v>
      </c>
      <c r="M29" s="125">
        <f ca="1" t="shared" si="2"/>
        <v>0</v>
      </c>
      <c r="O29">
        <v>99.704</v>
      </c>
    </row>
    <row r="30" customFormat="1" spans="1:21">
      <c r="A30" t="s">
        <v>123</v>
      </c>
      <c r="B30" s="91" t="s">
        <v>101</v>
      </c>
      <c r="C30" s="32" t="s">
        <v>102</v>
      </c>
      <c r="D30" t="s">
        <v>100</v>
      </c>
      <c r="E30" s="100">
        <v>135.205</v>
      </c>
      <c r="F30" s="93">
        <v>2203500</v>
      </c>
      <c r="G30" s="16">
        <f t="shared" si="15"/>
        <v>297924217.5</v>
      </c>
      <c r="H30" s="30">
        <v>45960</v>
      </c>
      <c r="I30" s="30">
        <v>46052</v>
      </c>
      <c r="J30" s="39">
        <f ca="1" t="shared" si="16"/>
        <v>46080</v>
      </c>
      <c r="K30" s="131">
        <f t="shared" si="18"/>
        <v>297924217.5</v>
      </c>
      <c r="L30" s="126">
        <v>0.005</v>
      </c>
      <c r="M30" s="125">
        <f ca="1" t="shared" si="2"/>
        <v>0</v>
      </c>
      <c r="O30" s="127">
        <v>135.05</v>
      </c>
      <c r="P30" s="125"/>
      <c r="Q30" s="16"/>
      <c r="R30" s="140"/>
      <c r="S30" s="16">
        <f ca="1" t="shared" ref="S30:U30" si="19">SUM(S14:S25)</f>
        <v>38737761.4726027</v>
      </c>
      <c r="T30" s="16">
        <f t="shared" si="19"/>
        <v>11557085.5821918</v>
      </c>
      <c r="U30" s="125">
        <f t="shared" si="19"/>
        <v>2097849.81917808</v>
      </c>
    </row>
    <row r="31" spans="1:13">
      <c r="A31" t="s">
        <v>129</v>
      </c>
      <c r="B31" t="s">
        <v>111</v>
      </c>
      <c r="C31" t="s">
        <v>112</v>
      </c>
      <c r="D31" t="s">
        <v>95</v>
      </c>
      <c r="E31">
        <v>101.044</v>
      </c>
      <c r="F31" s="31">
        <v>500000</v>
      </c>
      <c r="G31" s="16">
        <f t="shared" si="15"/>
        <v>50522000</v>
      </c>
      <c r="H31" s="30">
        <v>45962</v>
      </c>
      <c r="I31" s="30">
        <v>46022</v>
      </c>
      <c r="J31" s="39">
        <f ca="1" t="shared" si="16"/>
        <v>46080</v>
      </c>
      <c r="K31" s="16">
        <f>G31</f>
        <v>50522000</v>
      </c>
      <c r="L31" s="126">
        <v>0.005</v>
      </c>
      <c r="M31" s="125">
        <f ca="1" t="shared" si="2"/>
        <v>0</v>
      </c>
    </row>
    <row r="32" spans="1:15">
      <c r="A32" t="s">
        <v>130</v>
      </c>
      <c r="B32" s="102" t="s">
        <v>109</v>
      </c>
      <c r="C32" s="103" t="s">
        <v>110</v>
      </c>
      <c r="D32" t="s">
        <v>95</v>
      </c>
      <c r="E32" s="92">
        <f>s_dq_close(B32,H32,1)</f>
        <v>99.704</v>
      </c>
      <c r="F32" s="93">
        <v>400000</v>
      </c>
      <c r="G32" s="16">
        <f t="shared" si="15"/>
        <v>39881600</v>
      </c>
      <c r="H32" s="30">
        <v>45979</v>
      </c>
      <c r="I32" s="30">
        <v>46022</v>
      </c>
      <c r="J32" s="39">
        <f ca="1" t="shared" si="16"/>
        <v>46080</v>
      </c>
      <c r="K32" s="131">
        <f t="shared" ref="K32:K35" si="20">F32*E32</f>
        <v>39881600</v>
      </c>
      <c r="L32" s="126">
        <v>0.005</v>
      </c>
      <c r="M32" s="125">
        <f ca="1" t="shared" si="2"/>
        <v>0</v>
      </c>
      <c r="O32">
        <v>99.704</v>
      </c>
    </row>
    <row r="33" customFormat="1" ht="14.25" spans="1:17">
      <c r="A33" s="71">
        <v>22</v>
      </c>
      <c r="B33" t="s">
        <v>131</v>
      </c>
      <c r="C33" t="s">
        <v>132</v>
      </c>
      <c r="D33" t="s">
        <v>100</v>
      </c>
      <c r="E33">
        <v>108.016</v>
      </c>
      <c r="F33" s="115">
        <v>1390000</v>
      </c>
      <c r="G33" s="16">
        <f t="shared" si="15"/>
        <v>150142240</v>
      </c>
      <c r="H33" s="30">
        <v>45987</v>
      </c>
      <c r="I33" s="30">
        <v>46079</v>
      </c>
      <c r="J33" s="39">
        <f ca="1" t="shared" si="16"/>
        <v>46080</v>
      </c>
      <c r="K33" s="131">
        <f t="shared" si="20"/>
        <v>150142240</v>
      </c>
      <c r="L33" s="126">
        <v>0.005</v>
      </c>
      <c r="M33" s="125">
        <f ca="1" t="shared" si="2"/>
        <v>0</v>
      </c>
      <c r="Q33" s="16"/>
    </row>
    <row r="34" customFormat="1" spans="2:17">
      <c r="B34" t="s">
        <v>107</v>
      </c>
      <c r="C34" t="s">
        <v>108</v>
      </c>
      <c r="D34" t="s">
        <v>100</v>
      </c>
      <c r="E34" s="14">
        <v>99.808</v>
      </c>
      <c r="F34" s="115">
        <v>3000000</v>
      </c>
      <c r="G34" s="16">
        <f t="shared" si="15"/>
        <v>299424000</v>
      </c>
      <c r="H34" s="30">
        <v>45992</v>
      </c>
      <c r="I34" s="30">
        <v>46082</v>
      </c>
      <c r="J34" s="39">
        <f ca="1" t="shared" si="16"/>
        <v>46080</v>
      </c>
      <c r="K34" s="131">
        <f t="shared" si="20"/>
        <v>299424000</v>
      </c>
      <c r="L34" s="126">
        <v>0.006</v>
      </c>
      <c r="M34" s="125">
        <f ca="1" t="shared" si="2"/>
        <v>299424000</v>
      </c>
      <c r="Q34" s="16"/>
    </row>
    <row r="35" spans="2:13">
      <c r="B35" t="s">
        <v>131</v>
      </c>
      <c r="C35" t="s">
        <v>132</v>
      </c>
      <c r="D35" t="s">
        <v>100</v>
      </c>
      <c r="E35" s="92">
        <v>107.29</v>
      </c>
      <c r="F35" s="115">
        <f>139000*5</f>
        <v>695000</v>
      </c>
      <c r="G35" s="16">
        <f t="shared" si="15"/>
        <v>74566550</v>
      </c>
      <c r="H35" s="30">
        <v>45999</v>
      </c>
      <c r="I35" s="30">
        <v>46079</v>
      </c>
      <c r="J35" s="39">
        <f ca="1" t="shared" si="16"/>
        <v>46080</v>
      </c>
      <c r="K35" s="131">
        <f t="shared" si="20"/>
        <v>74566550</v>
      </c>
      <c r="L35" s="126">
        <v>0</v>
      </c>
      <c r="M35" s="125">
        <f ca="1" t="shared" si="2"/>
        <v>0</v>
      </c>
    </row>
    <row r="36" spans="2:13">
      <c r="B36" t="s">
        <v>133</v>
      </c>
      <c r="C36" t="s">
        <v>134</v>
      </c>
      <c r="D36" t="s">
        <v>95</v>
      </c>
      <c r="E36" s="92">
        <v>100.153</v>
      </c>
      <c r="F36" s="115">
        <v>1100000</v>
      </c>
      <c r="G36" s="16">
        <f t="shared" si="15"/>
        <v>110168300</v>
      </c>
      <c r="H36" s="30">
        <v>46003</v>
      </c>
      <c r="I36" s="30">
        <v>46093</v>
      </c>
      <c r="J36" s="30"/>
      <c r="K36" s="125"/>
      <c r="L36" s="126">
        <v>0.005</v>
      </c>
      <c r="M36" s="125"/>
    </row>
    <row r="37" spans="2:13">
      <c r="B37" s="14" t="s">
        <v>107</v>
      </c>
      <c r="C37" s="14" t="s">
        <v>135</v>
      </c>
      <c r="D37" s="14" t="s">
        <v>95</v>
      </c>
      <c r="E37" s="100">
        <v>99.704</v>
      </c>
      <c r="F37" s="118">
        <v>5000000</v>
      </c>
      <c r="G37" s="23">
        <f t="shared" si="15"/>
        <v>498520000</v>
      </c>
      <c r="H37" s="36">
        <v>46006</v>
      </c>
      <c r="I37" s="36">
        <v>46082</v>
      </c>
      <c r="J37" s="30"/>
      <c r="K37" s="125"/>
      <c r="L37" s="126">
        <v>0.005</v>
      </c>
      <c r="M37" s="125"/>
    </row>
    <row r="38" spans="1:15">
      <c r="A38" t="s">
        <v>119</v>
      </c>
      <c r="B38" s="14" t="s">
        <v>107</v>
      </c>
      <c r="C38" s="14" t="s">
        <v>135</v>
      </c>
      <c r="D38" s="14" t="s">
        <v>95</v>
      </c>
      <c r="E38" s="100">
        <v>99.704</v>
      </c>
      <c r="F38" s="118">
        <v>-2000000</v>
      </c>
      <c r="G38" s="23">
        <f>F38*E38</f>
        <v>-199408000</v>
      </c>
      <c r="H38" s="36">
        <v>46006</v>
      </c>
      <c r="I38" s="36">
        <v>46082</v>
      </c>
      <c r="J38" s="30"/>
      <c r="K38" s="125"/>
      <c r="L38" s="126">
        <v>0.005</v>
      </c>
      <c r="M38" s="125"/>
      <c r="O38">
        <v>100.215</v>
      </c>
    </row>
    <row r="39" customFormat="1" spans="2:17">
      <c r="B39" t="s">
        <v>107</v>
      </c>
      <c r="C39" t="s">
        <v>108</v>
      </c>
      <c r="D39" t="s">
        <v>95</v>
      </c>
      <c r="E39" s="14">
        <v>99.853</v>
      </c>
      <c r="F39" s="115">
        <v>1500000</v>
      </c>
      <c r="G39" s="16">
        <f>F39*E39</f>
        <v>149779500</v>
      </c>
      <c r="H39" s="30">
        <v>46014</v>
      </c>
      <c r="I39" s="30">
        <v>46027</v>
      </c>
      <c r="J39" s="39">
        <f ca="1">TODAY()</f>
        <v>46080</v>
      </c>
      <c r="K39" s="131">
        <f>F39*E39</f>
        <v>149779500</v>
      </c>
      <c r="L39" s="126" t="s">
        <v>136</v>
      </c>
      <c r="M39" s="125">
        <f ca="1">IF(I39&gt;J39,G39,0)</f>
        <v>0</v>
      </c>
      <c r="Q39" s="16"/>
    </row>
    <row r="40" spans="2:13">
      <c r="B40" t="s">
        <v>131</v>
      </c>
      <c r="C40" t="s">
        <v>132</v>
      </c>
      <c r="D40" t="s">
        <v>100</v>
      </c>
      <c r="E40" s="92">
        <v>107.816</v>
      </c>
      <c r="F40" s="115">
        <f>F33-F35</f>
        <v>695000</v>
      </c>
      <c r="G40" s="16">
        <f>F40*E40</f>
        <v>74932120</v>
      </c>
      <c r="H40" s="30">
        <v>46079</v>
      </c>
      <c r="I40" s="30">
        <v>46138</v>
      </c>
      <c r="J40" s="30"/>
      <c r="K40" s="125"/>
      <c r="L40" s="126">
        <v>0.005</v>
      </c>
      <c r="M40" s="125"/>
    </row>
    <row r="41" customFormat="1" spans="1:17">
      <c r="A41" t="s">
        <v>137</v>
      </c>
      <c r="B41" t="s">
        <v>107</v>
      </c>
      <c r="C41" t="s">
        <v>108</v>
      </c>
      <c r="D41" t="s">
        <v>95</v>
      </c>
      <c r="E41" s="14">
        <v>99.704</v>
      </c>
      <c r="F41" s="115">
        <v>3000000</v>
      </c>
      <c r="G41" s="16">
        <f>F41*E41</f>
        <v>299112000</v>
      </c>
      <c r="H41" s="30">
        <v>46083</v>
      </c>
      <c r="I41" s="30">
        <v>46175</v>
      </c>
      <c r="J41" s="39">
        <f ca="1">TODAY()</f>
        <v>46080</v>
      </c>
      <c r="K41" s="131">
        <f>F41*E41</f>
        <v>299112000</v>
      </c>
      <c r="L41" s="126">
        <v>0.006</v>
      </c>
      <c r="M41" s="125">
        <f ca="1">IF(I41&gt;J41,G41,0)</f>
        <v>299112000</v>
      </c>
      <c r="Q41" s="16"/>
    </row>
    <row r="42" customFormat="1" spans="17:17">
      <c r="Q42" s="16"/>
    </row>
    <row r="43" spans="2:15">
      <c r="B43" s="32" t="s">
        <v>138</v>
      </c>
      <c r="D43" s="32" t="s">
        <v>139</v>
      </c>
      <c r="E43" s="32" t="s">
        <v>140</v>
      </c>
      <c r="F43">
        <v>20000</v>
      </c>
      <c r="O43" s="16">
        <f>(E30-O24)*F24</f>
        <v>231367.50000004</v>
      </c>
    </row>
    <row r="44" spans="2:7">
      <c r="B44">
        <v>511260</v>
      </c>
      <c r="C44" s="119"/>
      <c r="D44" s="120">
        <f ca="1">b_cvn_rateofstdbnd(B44,TODAY())</f>
        <v>128</v>
      </c>
      <c r="E44">
        <v>100</v>
      </c>
      <c r="F44" s="121">
        <f>F6-F43</f>
        <v>2177000</v>
      </c>
      <c r="G44" s="121">
        <f ca="1">E44*D44/100*F44</f>
        <v>278656000</v>
      </c>
    </row>
    <row r="45" spans="2:7">
      <c r="B45">
        <v>511200</v>
      </c>
      <c r="D45" s="120">
        <f ca="1">[1]!b_cvn_rateofstdbnd(B45,TODAY())</f>
        <v>60</v>
      </c>
      <c r="E45">
        <v>100</v>
      </c>
      <c r="F45" s="121">
        <f>F3</f>
        <v>992100</v>
      </c>
      <c r="G45" s="121">
        <f ca="1">E45*D45/100*F45</f>
        <v>59526000</v>
      </c>
    </row>
    <row r="46" spans="11:13">
      <c r="K46" t="s">
        <v>141</v>
      </c>
      <c r="L46" s="16">
        <v>300000000</v>
      </c>
      <c r="M46" s="16"/>
    </row>
    <row r="47" spans="7:13">
      <c r="G47" s="16">
        <f>G33-G35</f>
        <v>75575690</v>
      </c>
      <c r="K47" t="s">
        <v>142</v>
      </c>
      <c r="L47" s="16">
        <v>100000000</v>
      </c>
      <c r="M47" s="16"/>
    </row>
    <row r="48" spans="7:13">
      <c r="G48" s="16"/>
      <c r="K48" t="s">
        <v>143</v>
      </c>
      <c r="L48" s="16">
        <v>300000000</v>
      </c>
      <c r="M48" s="16"/>
    </row>
    <row r="49" spans="2:5">
      <c r="B49" s="93">
        <v>30000000</v>
      </c>
      <c r="E49" s="93"/>
    </row>
    <row r="50" spans="2:5">
      <c r="B50" s="93">
        <v>100000000</v>
      </c>
      <c r="E50" s="93"/>
    </row>
    <row r="53" spans="2:19">
      <c r="B53" s="91" t="s">
        <v>93</v>
      </c>
      <c r="E53">
        <f>[1]!s_dq_close(B53,H53,1)</f>
        <v>99.644</v>
      </c>
      <c r="F53" s="93">
        <f>G53/E53</f>
        <v>100357.271887921</v>
      </c>
      <c r="G53" s="16">
        <v>10000000</v>
      </c>
      <c r="H53" s="30">
        <v>45713</v>
      </c>
      <c r="I53" s="30">
        <v>46078</v>
      </c>
      <c r="J53" s="30">
        <f ca="1" t="shared" ref="J43:J53" si="21">TODAY()</f>
        <v>46080</v>
      </c>
      <c r="K53" s="93">
        <f>F53*E53</f>
        <v>10000000</v>
      </c>
      <c r="N53">
        <f>[1]!s_dq_close(B53,H53,1)</f>
        <v>99.644</v>
      </c>
      <c r="O53">
        <f>[1]!s_dq_close(B53,I53,1)</f>
        <v>101.38</v>
      </c>
      <c r="P53" s="93">
        <f>(O53-N53)*F53</f>
        <v>174220.22399743</v>
      </c>
      <c r="Q53" s="16">
        <f ca="1">L53/365*(J53-H53+1)*G53</f>
        <v>0</v>
      </c>
      <c r="S53" s="93">
        <f ca="1">R53*G53/365*(J53-H53+1)</f>
        <v>0</v>
      </c>
    </row>
    <row r="57" spans="5:7">
      <c r="E57">
        <v>10</v>
      </c>
      <c r="F57">
        <f>E57/1.5</f>
        <v>6.66666666666667</v>
      </c>
      <c r="G57" s="16">
        <f>F57*2%/4*100000000</f>
        <v>3333333.33333333</v>
      </c>
    </row>
    <row r="59" spans="5:14">
      <c r="E59">
        <v>99.668</v>
      </c>
      <c r="F59" s="16">
        <f>-(E34-E59)*F34</f>
        <v>-420000.000000002</v>
      </c>
      <c r="K59" s="16">
        <v>739000</v>
      </c>
      <c r="L59">
        <v>135.945</v>
      </c>
      <c r="N59">
        <f>L59*K59</f>
        <v>100463355</v>
      </c>
    </row>
    <row r="60" spans="6:14">
      <c r="F60" s="16">
        <f ca="1">E34*F34*L34/365*(I34-H34)/(I34-J34)*365/(E34*F34*L34)</f>
        <v>45</v>
      </c>
      <c r="G60" s="122">
        <f ca="1">L34/(I34-J34)*(I34-H34)</f>
        <v>0.27</v>
      </c>
      <c r="K60" s="16">
        <v>739000</v>
      </c>
      <c r="L60" s="139">
        <v>135.94</v>
      </c>
      <c r="M60" s="139"/>
      <c r="N60">
        <f>L60*K60</f>
        <v>100459660</v>
      </c>
    </row>
    <row r="63" spans="11:20">
      <c r="K63" s="16">
        <f>K59*2-6000</f>
        <v>1472000</v>
      </c>
      <c r="L63">
        <v>135.943</v>
      </c>
      <c r="N63" s="16">
        <f>L63*K63</f>
        <v>200108096</v>
      </c>
      <c r="T63">
        <v>3</v>
      </c>
    </row>
    <row r="64" spans="20:20">
      <c r="T64">
        <v>2</v>
      </c>
    </row>
    <row r="65" spans="20:20">
      <c r="T65">
        <v>1</v>
      </c>
    </row>
    <row r="66" spans="20:20">
      <c r="T66">
        <v>1</v>
      </c>
    </row>
    <row r="67" spans="20:20">
      <c r="T67">
        <v>1</v>
      </c>
    </row>
    <row r="68" spans="3:3">
      <c r="C68" t="s">
        <v>144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R28"/>
  <sheetViews>
    <sheetView workbookViewId="0">
      <selection activeCell="G4" sqref="G4"/>
    </sheetView>
  </sheetViews>
  <sheetFormatPr defaultColWidth="9" defaultRowHeight="13.5"/>
  <cols>
    <col min="2" max="2" width="6" customWidth="1"/>
    <col min="3" max="3" width="13" customWidth="1"/>
    <col min="4" max="4" width="9" customWidth="1"/>
    <col min="5" max="5" width="27.875" customWidth="1"/>
    <col min="6" max="6" width="17.25" customWidth="1"/>
    <col min="7" max="7" width="34" customWidth="1"/>
    <col min="8" max="11" width="9" customWidth="1"/>
    <col min="12" max="13" width="9" style="51" customWidth="1"/>
    <col min="14" max="14" width="29.875" customWidth="1"/>
    <col min="15" max="15" width="12" customWidth="1"/>
    <col min="16" max="17" width="16.625" customWidth="1"/>
    <col min="18" max="18" width="30" customWidth="1"/>
  </cols>
  <sheetData>
    <row r="1" ht="14.25"/>
    <row r="2" spans="2:15">
      <c r="B2" s="61" t="s">
        <v>145</v>
      </c>
      <c r="C2" s="62" t="s">
        <v>146</v>
      </c>
      <c r="D2" s="62" t="s">
        <v>147</v>
      </c>
      <c r="E2" s="62" t="s">
        <v>148</v>
      </c>
      <c r="F2" s="62" t="s">
        <v>149</v>
      </c>
      <c r="G2" s="62" t="s">
        <v>150</v>
      </c>
      <c r="H2" s="62" t="s">
        <v>151</v>
      </c>
      <c r="I2" s="62" t="s">
        <v>152</v>
      </c>
      <c r="J2" s="62" t="s">
        <v>153</v>
      </c>
      <c r="K2" s="62" t="s">
        <v>154</v>
      </c>
      <c r="L2" s="76" t="s">
        <v>155</v>
      </c>
      <c r="M2" s="76" t="s">
        <v>156</v>
      </c>
      <c r="N2" s="77" t="s">
        <v>157</v>
      </c>
      <c r="O2" t="s">
        <v>158</v>
      </c>
    </row>
    <row r="3" spans="2:14">
      <c r="B3" s="63">
        <v>1</v>
      </c>
      <c r="C3" s="64" t="s">
        <v>159</v>
      </c>
      <c r="D3" t="s">
        <v>160</v>
      </c>
      <c r="E3" t="s">
        <v>161</v>
      </c>
      <c r="H3" s="65" t="s">
        <v>162</v>
      </c>
      <c r="N3" s="78"/>
    </row>
    <row r="4" spans="2:14">
      <c r="B4" s="63">
        <v>2</v>
      </c>
      <c r="C4" s="66" t="s">
        <v>163</v>
      </c>
      <c r="D4" t="s">
        <v>160</v>
      </c>
      <c r="E4" t="s">
        <v>161</v>
      </c>
      <c r="G4" s="32" t="s">
        <v>164</v>
      </c>
      <c r="N4" s="78"/>
    </row>
    <row r="5" spans="2:18">
      <c r="B5" s="63">
        <v>3</v>
      </c>
      <c r="C5" s="64" t="s">
        <v>165</v>
      </c>
      <c r="D5" t="s">
        <v>160</v>
      </c>
      <c r="E5" s="67" t="s">
        <v>166</v>
      </c>
      <c r="F5" s="32" t="s">
        <v>167</v>
      </c>
      <c r="I5" s="65" t="s">
        <v>162</v>
      </c>
      <c r="J5" s="65" t="s">
        <v>162</v>
      </c>
      <c r="N5" s="79" t="s">
        <v>168</v>
      </c>
      <c r="O5" s="80" t="s">
        <v>158</v>
      </c>
      <c r="P5" s="80" t="s">
        <v>169</v>
      </c>
      <c r="Q5" s="80" t="s">
        <v>170</v>
      </c>
      <c r="R5" t="s">
        <v>171</v>
      </c>
    </row>
    <row r="6" spans="2:18">
      <c r="B6" s="63">
        <v>4</v>
      </c>
      <c r="C6" s="64" t="s">
        <v>172</v>
      </c>
      <c r="D6" t="s">
        <v>160</v>
      </c>
      <c r="E6" t="s">
        <v>161</v>
      </c>
      <c r="G6" s="32" t="s">
        <v>173</v>
      </c>
      <c r="J6" s="65" t="s">
        <v>162</v>
      </c>
      <c r="K6" s="81" t="s">
        <v>174</v>
      </c>
      <c r="L6" s="51">
        <v>0</v>
      </c>
      <c r="N6" s="78"/>
      <c r="O6" t="s">
        <v>109</v>
      </c>
      <c r="P6" t="s">
        <v>110</v>
      </c>
      <c r="Q6" t="s">
        <v>174</v>
      </c>
      <c r="R6" t="s">
        <v>175</v>
      </c>
    </row>
    <row r="7" spans="2:18">
      <c r="B7" s="63">
        <v>5</v>
      </c>
      <c r="C7" s="64" t="s">
        <v>176</v>
      </c>
      <c r="D7" t="s">
        <v>160</v>
      </c>
      <c r="E7" s="67" t="s">
        <v>166</v>
      </c>
      <c r="F7" s="32" t="s">
        <v>177</v>
      </c>
      <c r="I7" s="65" t="s">
        <v>162</v>
      </c>
      <c r="J7" s="65" t="s">
        <v>162</v>
      </c>
      <c r="K7" s="81" t="s">
        <v>178</v>
      </c>
      <c r="L7" s="82" t="s">
        <v>179</v>
      </c>
      <c r="M7" s="82" t="s">
        <v>180</v>
      </c>
      <c r="N7" s="79" t="s">
        <v>181</v>
      </c>
      <c r="O7" s="83" t="s">
        <v>103</v>
      </c>
      <c r="P7" s="83" t="s">
        <v>104</v>
      </c>
      <c r="Q7" s="83" t="s">
        <v>179</v>
      </c>
      <c r="R7" t="s">
        <v>182</v>
      </c>
    </row>
    <row r="8" spans="2:18">
      <c r="B8" s="63">
        <v>6</v>
      </c>
      <c r="C8" s="64" t="s">
        <v>183</v>
      </c>
      <c r="D8" t="s">
        <v>160</v>
      </c>
      <c r="E8" t="s">
        <v>161</v>
      </c>
      <c r="F8" s="32" t="s">
        <v>177</v>
      </c>
      <c r="G8" s="32" t="s">
        <v>184</v>
      </c>
      <c r="I8" s="65" t="s">
        <v>162</v>
      </c>
      <c r="J8" s="65" t="s">
        <v>162</v>
      </c>
      <c r="K8" s="65" t="s">
        <v>185</v>
      </c>
      <c r="L8" s="84" t="s">
        <v>185</v>
      </c>
      <c r="M8" s="84" t="s">
        <v>186</v>
      </c>
      <c r="N8" s="79" t="s">
        <v>187</v>
      </c>
      <c r="O8" s="83" t="s">
        <v>105</v>
      </c>
      <c r="P8" s="83" t="s">
        <v>106</v>
      </c>
      <c r="Q8" s="83" t="s">
        <v>185</v>
      </c>
      <c r="R8" t="s">
        <v>188</v>
      </c>
    </row>
    <row r="9" spans="2:18">
      <c r="B9" s="63">
        <v>7</v>
      </c>
      <c r="C9" s="64" t="s">
        <v>189</v>
      </c>
      <c r="D9" s="32" t="s">
        <v>190</v>
      </c>
      <c r="E9" s="68" t="s">
        <v>191</v>
      </c>
      <c r="H9" s="65" t="s">
        <v>162</v>
      </c>
      <c r="I9" s="65" t="s">
        <v>192</v>
      </c>
      <c r="J9" s="65" t="s">
        <v>162</v>
      </c>
      <c r="K9" s="65" t="s">
        <v>174</v>
      </c>
      <c r="L9" s="84">
        <v>0</v>
      </c>
      <c r="M9" s="84" t="s">
        <v>174</v>
      </c>
      <c r="N9" s="79" t="s">
        <v>193</v>
      </c>
      <c r="O9" t="s">
        <v>107</v>
      </c>
      <c r="P9" t="s">
        <v>108</v>
      </c>
      <c r="R9" t="s">
        <v>194</v>
      </c>
    </row>
    <row r="10" spans="2:14">
      <c r="B10" s="63">
        <v>8</v>
      </c>
      <c r="C10" t="s">
        <v>195</v>
      </c>
      <c r="D10" t="s">
        <v>190</v>
      </c>
      <c r="E10" t="s">
        <v>161</v>
      </c>
      <c r="H10" s="65" t="s">
        <v>162</v>
      </c>
      <c r="I10" s="65" t="s">
        <v>162</v>
      </c>
      <c r="N10" s="78"/>
    </row>
    <row r="11" spans="2:14">
      <c r="B11" s="63">
        <v>9</v>
      </c>
      <c r="C11" s="69" t="s">
        <v>196</v>
      </c>
      <c r="D11" t="s">
        <v>190</v>
      </c>
      <c r="E11" t="s">
        <v>161</v>
      </c>
      <c r="F11" s="32" t="s">
        <v>197</v>
      </c>
      <c r="N11" s="78"/>
    </row>
    <row r="12" ht="14.25" spans="2:14">
      <c r="B12" s="70">
        <v>10</v>
      </c>
      <c r="C12" s="71" t="s">
        <v>198</v>
      </c>
      <c r="D12" s="71" t="s">
        <v>190</v>
      </c>
      <c r="E12" s="71" t="s">
        <v>199</v>
      </c>
      <c r="F12" s="71"/>
      <c r="G12" s="71"/>
      <c r="H12" s="72" t="s">
        <v>162</v>
      </c>
      <c r="I12" s="71"/>
      <c r="J12" s="71"/>
      <c r="K12" s="71"/>
      <c r="L12" s="85"/>
      <c r="M12" s="85"/>
      <c r="N12" s="86"/>
    </row>
    <row r="13" spans="2:14">
      <c r="B13" s="73">
        <v>11</v>
      </c>
      <c r="C13" s="74" t="s">
        <v>200</v>
      </c>
      <c r="D13" s="75" t="s">
        <v>190</v>
      </c>
      <c r="E13" s="74"/>
      <c r="F13" s="74"/>
      <c r="G13" s="74"/>
      <c r="H13" s="74"/>
      <c r="I13" s="87" t="s">
        <v>162</v>
      </c>
      <c r="J13" s="74"/>
      <c r="K13" s="74"/>
      <c r="L13" s="88"/>
      <c r="M13" s="88"/>
      <c r="N13" s="89"/>
    </row>
    <row r="14" spans="2:14">
      <c r="B14" s="63">
        <v>12</v>
      </c>
      <c r="C14" t="s">
        <v>201</v>
      </c>
      <c r="D14" t="s">
        <v>190</v>
      </c>
      <c r="N14" s="78"/>
    </row>
    <row r="15" spans="2:14">
      <c r="B15" s="63">
        <v>13</v>
      </c>
      <c r="C15" t="s">
        <v>141</v>
      </c>
      <c r="D15" s="32" t="s">
        <v>190</v>
      </c>
      <c r="I15" s="65" t="s">
        <v>162</v>
      </c>
      <c r="N15" s="78"/>
    </row>
    <row r="16" spans="2:14">
      <c r="B16" s="63">
        <v>14</v>
      </c>
      <c r="C16" t="s">
        <v>202</v>
      </c>
      <c r="D16" t="s">
        <v>190</v>
      </c>
      <c r="N16" s="78"/>
    </row>
    <row r="17" spans="2:14">
      <c r="B17" s="63">
        <v>15</v>
      </c>
      <c r="C17" t="s">
        <v>203</v>
      </c>
      <c r="D17" t="s">
        <v>160</v>
      </c>
      <c r="N17" s="78"/>
    </row>
    <row r="18" spans="2:14">
      <c r="B18" s="63">
        <v>16</v>
      </c>
      <c r="C18" t="s">
        <v>204</v>
      </c>
      <c r="D18" t="s">
        <v>160</v>
      </c>
      <c r="N18" s="78"/>
    </row>
    <row r="19" spans="2:14">
      <c r="B19" s="63">
        <v>17</v>
      </c>
      <c r="C19" t="s">
        <v>205</v>
      </c>
      <c r="D19" t="s">
        <v>160</v>
      </c>
      <c r="N19" s="78"/>
    </row>
    <row r="20" spans="2:14">
      <c r="B20" s="63">
        <v>18</v>
      </c>
      <c r="C20" t="s">
        <v>206</v>
      </c>
      <c r="D20" t="s">
        <v>160</v>
      </c>
      <c r="N20" s="78"/>
    </row>
    <row r="21" spans="2:14">
      <c r="B21" s="63">
        <v>19</v>
      </c>
      <c r="C21" t="s">
        <v>207</v>
      </c>
      <c r="D21" t="s">
        <v>160</v>
      </c>
      <c r="N21" s="78"/>
    </row>
    <row r="22" ht="14.25" spans="2:14">
      <c r="B22" s="70">
        <v>20</v>
      </c>
      <c r="C22" s="71" t="s">
        <v>143</v>
      </c>
      <c r="D22" s="71" t="s">
        <v>160</v>
      </c>
      <c r="E22" s="71"/>
      <c r="F22" s="71"/>
      <c r="G22" s="71"/>
      <c r="H22" s="71"/>
      <c r="I22" s="71"/>
      <c r="J22" s="71"/>
      <c r="K22" s="71"/>
      <c r="L22" s="85"/>
      <c r="M22" s="85"/>
      <c r="N22" s="86"/>
    </row>
    <row r="25" spans="3:3">
      <c r="C25" t="s">
        <v>208</v>
      </c>
    </row>
    <row r="26" spans="3:3">
      <c r="C26" t="s">
        <v>209</v>
      </c>
    </row>
    <row r="27" spans="3:3">
      <c r="C27" t="s">
        <v>205</v>
      </c>
    </row>
    <row r="28" spans="3:3">
      <c r="C28" t="s">
        <v>210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6"/>
  <sheetViews>
    <sheetView workbookViewId="0">
      <selection activeCell="G4" sqref="G4"/>
    </sheetView>
  </sheetViews>
  <sheetFormatPr defaultColWidth="9" defaultRowHeight="13.5" outlineLevelRow="5" outlineLevelCol="4"/>
  <cols>
    <col min="2" max="2" width="32.125" customWidth="1"/>
    <col min="4" max="4" width="13.125" customWidth="1"/>
  </cols>
  <sheetData>
    <row r="1" spans="2:2">
      <c r="B1" s="32" t="s">
        <v>211</v>
      </c>
    </row>
    <row r="2" spans="1:2">
      <c r="A2">
        <v>511260</v>
      </c>
      <c r="B2" s="32" t="s">
        <v>212</v>
      </c>
    </row>
    <row r="3" spans="2:4">
      <c r="B3" s="32" t="s">
        <v>213</v>
      </c>
      <c r="C3" s="32" t="s">
        <v>214</v>
      </c>
      <c r="D3" s="32" t="s">
        <v>215</v>
      </c>
    </row>
    <row r="4" spans="1:3">
      <c r="A4">
        <v>511260</v>
      </c>
      <c r="B4" s="30">
        <v>45817</v>
      </c>
      <c r="C4" s="59">
        <f>[1]!f_nav_unit(A4,B4)</f>
        <v>136.541</v>
      </c>
    </row>
    <row r="5" spans="1:5">
      <c r="A5">
        <v>511260</v>
      </c>
      <c r="B5" s="30">
        <v>45818</v>
      </c>
      <c r="C5" s="59">
        <f>[1]!f_nav_unit(A5,B5)</f>
        <v>136.536</v>
      </c>
      <c r="D5" s="60">
        <v>136.553188862184</v>
      </c>
      <c r="E5">
        <f>C5/D5-1</f>
        <v>-0.000125876680927117</v>
      </c>
    </row>
    <row r="6" spans="1:3">
      <c r="A6">
        <v>511260</v>
      </c>
      <c r="B6" s="30">
        <v>45819</v>
      </c>
      <c r="C6" s="59">
        <f>[1]!f_nav_unit(A6,B6)</f>
        <v>136.651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5"/>
  <sheetViews>
    <sheetView workbookViewId="0">
      <selection activeCell="G4" sqref="G4"/>
    </sheetView>
  </sheetViews>
  <sheetFormatPr defaultColWidth="9" defaultRowHeight="13.5" outlineLevelRow="4"/>
  <cols>
    <col min="2" max="2" width="15.625" customWidth="1"/>
    <col min="3" max="3" width="15.25" customWidth="1"/>
    <col min="4" max="7" width="9" hidden="1" customWidth="1"/>
  </cols>
  <sheetData>
    <row r="1" ht="14.25" spans="1:10">
      <c r="A1" t="s">
        <v>216</v>
      </c>
      <c r="B1" t="s">
        <v>217</v>
      </c>
      <c r="C1" t="s">
        <v>218</v>
      </c>
      <c r="D1" s="53" t="s">
        <v>219</v>
      </c>
      <c r="E1" s="54" t="s">
        <v>220</v>
      </c>
      <c r="F1" s="55" t="s">
        <v>221</v>
      </c>
      <c r="G1" s="55"/>
      <c r="H1" s="56" t="s">
        <v>50</v>
      </c>
      <c r="I1" t="s">
        <v>75</v>
      </c>
      <c r="J1" t="s">
        <v>222</v>
      </c>
    </row>
    <row r="2" ht="14.25" spans="1:10">
      <c r="A2" t="s">
        <v>223</v>
      </c>
      <c r="B2" t="s">
        <v>224</v>
      </c>
      <c r="C2" t="s">
        <v>225</v>
      </c>
      <c r="D2" s="53">
        <v>5</v>
      </c>
      <c r="E2" s="54">
        <v>4.5178</v>
      </c>
      <c r="F2" s="55">
        <v>1.8</v>
      </c>
      <c r="G2" s="55"/>
      <c r="H2" s="56">
        <v>4000</v>
      </c>
      <c r="I2" t="s">
        <v>226</v>
      </c>
      <c r="J2" t="s">
        <v>227</v>
      </c>
    </row>
    <row r="3" ht="14.25" spans="1:10">
      <c r="A3" t="s">
        <v>228</v>
      </c>
      <c r="B3" t="s">
        <v>229</v>
      </c>
      <c r="C3" t="s">
        <v>230</v>
      </c>
      <c r="D3" s="53">
        <v>5</v>
      </c>
      <c r="E3" s="54">
        <v>1.2274</v>
      </c>
      <c r="F3" s="55">
        <v>1.7694</v>
      </c>
      <c r="G3" s="55"/>
      <c r="H3" s="56">
        <v>2000</v>
      </c>
      <c r="I3" t="s">
        <v>231</v>
      </c>
      <c r="J3" t="s">
        <v>232</v>
      </c>
    </row>
    <row r="4" ht="14.25" spans="1:10">
      <c r="A4" t="s">
        <v>233</v>
      </c>
      <c r="B4" t="s">
        <v>234</v>
      </c>
      <c r="C4" t="s">
        <v>235</v>
      </c>
      <c r="D4" s="53">
        <v>20</v>
      </c>
      <c r="E4" s="54">
        <v>1.3616</v>
      </c>
      <c r="F4" s="55">
        <v>1.7265</v>
      </c>
      <c r="G4" s="55"/>
      <c r="H4" s="56">
        <v>4000</v>
      </c>
      <c r="I4" t="s">
        <v>226</v>
      </c>
      <c r="J4" t="s">
        <v>227</v>
      </c>
    </row>
    <row r="5" ht="14.25" spans="1:10">
      <c r="A5" t="s">
        <v>236</v>
      </c>
      <c r="B5" t="s">
        <v>237</v>
      </c>
      <c r="C5" t="s">
        <v>238</v>
      </c>
      <c r="D5" s="57">
        <f>[1]!b_info_outstandingbalance(A5,"")</f>
        <v>15</v>
      </c>
      <c r="E5" s="56">
        <f>b_info_termnote2(A5,"")</f>
        <v>0.3836</v>
      </c>
      <c r="F5" s="58">
        <f>[1]!b_anal_yield_csi1(A5,$A$1,3)</f>
        <v>0</v>
      </c>
      <c r="G5" s="58"/>
      <c r="H5" s="56">
        <v>3000</v>
      </c>
      <c r="I5" t="s">
        <v>239</v>
      </c>
      <c r="J5" t="s">
        <v>240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5"/>
  <sheetViews>
    <sheetView workbookViewId="0">
      <selection activeCell="G4" sqref="G4"/>
    </sheetView>
  </sheetViews>
  <sheetFormatPr defaultColWidth="9" defaultRowHeight="13.5" outlineLevelRow="4" outlineLevelCol="3"/>
  <cols>
    <col min="3" max="3" width="20.625" customWidth="1"/>
    <col min="4" max="4" width="10.375" customWidth="1"/>
  </cols>
  <sheetData>
    <row r="1" spans="1:4">
      <c r="A1" s="33" t="s">
        <v>216</v>
      </c>
      <c r="B1" s="33" t="s">
        <v>146</v>
      </c>
      <c r="C1" s="49" t="s">
        <v>241</v>
      </c>
      <c r="D1" s="50" t="s">
        <v>242</v>
      </c>
    </row>
    <row r="2" spans="1:4">
      <c r="A2" s="51">
        <v>563360</v>
      </c>
      <c r="B2" t="s">
        <v>243</v>
      </c>
      <c r="C2" s="16">
        <v>12000</v>
      </c>
      <c r="D2" t="s">
        <v>244</v>
      </c>
    </row>
    <row r="3" spans="1:3">
      <c r="A3" s="51">
        <v>512050</v>
      </c>
      <c r="B3" t="s">
        <v>245</v>
      </c>
      <c r="C3" s="16">
        <v>20000</v>
      </c>
    </row>
    <row r="4" spans="1:3">
      <c r="A4" s="51">
        <v>563220</v>
      </c>
      <c r="B4" t="s">
        <v>246</v>
      </c>
      <c r="C4" s="52">
        <v>8000</v>
      </c>
    </row>
    <row r="5" spans="1:3">
      <c r="A5" s="51">
        <v>159352</v>
      </c>
      <c r="B5" t="s">
        <v>247</v>
      </c>
      <c r="C5" s="16">
        <v>20000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11"/>
  <sheetViews>
    <sheetView workbookViewId="0">
      <selection activeCell="G4" sqref="G4"/>
    </sheetView>
  </sheetViews>
  <sheetFormatPr defaultColWidth="9" defaultRowHeight="13.5"/>
  <cols>
    <col min="1" max="1" width="11.25" customWidth="1"/>
    <col min="2" max="2" width="35.625" customWidth="1"/>
    <col min="3" max="3" width="12.125" customWidth="1"/>
    <col min="4" max="4" width="17.375" customWidth="1"/>
    <col min="5" max="5" width="16" customWidth="1"/>
    <col min="6" max="6" width="11.5" customWidth="1"/>
    <col min="7" max="7" width="10.375"/>
    <col min="9" max="9" width="11.5"/>
    <col min="10" max="10" width="11.5" style="16"/>
  </cols>
  <sheetData>
    <row r="1" ht="17.25" spans="1:7">
      <c r="A1" s="42" t="s">
        <v>216</v>
      </c>
      <c r="B1" s="42" t="s">
        <v>248</v>
      </c>
      <c r="C1" s="42" t="s">
        <v>249</v>
      </c>
      <c r="D1" s="42" t="s">
        <v>250</v>
      </c>
      <c r="E1" s="42" t="s">
        <v>251</v>
      </c>
      <c r="F1" s="42" t="s">
        <v>252</v>
      </c>
      <c r="G1" s="30">
        <f ca="1">TODAY()</f>
        <v>46080</v>
      </c>
    </row>
    <row r="2" ht="16.5" spans="1:9">
      <c r="A2" s="43" t="s">
        <v>105</v>
      </c>
      <c r="B2" s="44" t="s">
        <v>188</v>
      </c>
      <c r="C2" s="45" t="s">
        <v>253</v>
      </c>
      <c r="D2" s="46">
        <v>2960.82</v>
      </c>
      <c r="E2" s="47">
        <v>99.9617</v>
      </c>
      <c r="F2" s="48">
        <v>1732</v>
      </c>
      <c r="G2">
        <f>f_nav_unit(A2,C2)</f>
        <v>100.0791</v>
      </c>
      <c r="H2">
        <v>100.105</v>
      </c>
      <c r="I2" s="16">
        <f>(H2-G2)*500000</f>
        <v>12950.0000000036</v>
      </c>
    </row>
    <row r="3" ht="16.5" spans="1:7">
      <c r="A3" s="43" t="s">
        <v>254</v>
      </c>
      <c r="B3" s="44" t="s">
        <v>255</v>
      </c>
      <c r="C3" s="45" t="s">
        <v>253</v>
      </c>
      <c r="D3" s="46">
        <v>3000.21</v>
      </c>
      <c r="E3" s="47">
        <v>99.9312</v>
      </c>
      <c r="F3" s="48">
        <v>4294</v>
      </c>
      <c r="G3">
        <f>f_nav_unit(A3,C3)</f>
        <v>100.096</v>
      </c>
    </row>
    <row r="4" ht="16.5" spans="1:7">
      <c r="A4" s="43" t="s">
        <v>109</v>
      </c>
      <c r="B4" s="44" t="s">
        <v>175</v>
      </c>
      <c r="C4" s="45" t="s">
        <v>253</v>
      </c>
      <c r="D4" s="46">
        <v>2991.16</v>
      </c>
      <c r="E4" s="47">
        <v>100.0124</v>
      </c>
      <c r="F4" s="48">
        <v>4721</v>
      </c>
      <c r="G4">
        <f>f_nav_unit(A4,C4)</f>
        <v>100.1022</v>
      </c>
    </row>
    <row r="5" ht="16.5" spans="1:7">
      <c r="A5" s="43" t="s">
        <v>256</v>
      </c>
      <c r="B5" s="44" t="s">
        <v>257</v>
      </c>
      <c r="C5" s="45" t="s">
        <v>253</v>
      </c>
      <c r="D5" s="46">
        <v>2822</v>
      </c>
      <c r="E5" s="47">
        <v>99.9223</v>
      </c>
      <c r="F5" s="48">
        <v>3239</v>
      </c>
      <c r="G5">
        <f>f_nav_unit(A5,C5)</f>
        <v>100.1041</v>
      </c>
    </row>
    <row r="6" ht="16.5" spans="1:7">
      <c r="A6" s="43" t="s">
        <v>258</v>
      </c>
      <c r="B6" s="44" t="s">
        <v>259</v>
      </c>
      <c r="C6" s="45" t="s">
        <v>253</v>
      </c>
      <c r="D6" s="46">
        <v>3000.26</v>
      </c>
      <c r="E6" s="47">
        <v>100.0012</v>
      </c>
      <c r="F6" s="48">
        <v>6011</v>
      </c>
      <c r="G6">
        <f>f_nav_unit(A6,C6)</f>
        <v>100.1792</v>
      </c>
    </row>
    <row r="7" ht="16.5" spans="1:10">
      <c r="A7" s="43" t="s">
        <v>103</v>
      </c>
      <c r="B7" s="44" t="s">
        <v>182</v>
      </c>
      <c r="C7" s="45" t="s">
        <v>253</v>
      </c>
      <c r="D7" s="46">
        <v>2994</v>
      </c>
      <c r="E7" s="47">
        <v>100.0037</v>
      </c>
      <c r="F7" s="48">
        <v>3723</v>
      </c>
      <c r="G7">
        <f>f_nav_unit(A7,C7)</f>
        <v>100.1266</v>
      </c>
      <c r="H7">
        <v>100.179</v>
      </c>
      <c r="I7">
        <f>H7-G7</f>
        <v>0.0524000000000058</v>
      </c>
      <c r="J7" s="16">
        <f>I7*200000</f>
        <v>10480.0000000012</v>
      </c>
    </row>
    <row r="8" ht="16.5" spans="1:7">
      <c r="A8" s="43" t="s">
        <v>133</v>
      </c>
      <c r="B8" s="44" t="s">
        <v>260</v>
      </c>
      <c r="C8" s="45" t="s">
        <v>253</v>
      </c>
      <c r="D8" s="46">
        <v>2299.74</v>
      </c>
      <c r="E8" s="47">
        <v>99.9994</v>
      </c>
      <c r="F8" s="48">
        <v>4491</v>
      </c>
      <c r="G8">
        <f>f_nav_unit(A8,C8)</f>
        <v>100.106</v>
      </c>
    </row>
    <row r="9" ht="16.5" spans="1:7">
      <c r="A9" s="43" t="s">
        <v>261</v>
      </c>
      <c r="B9" s="44" t="s">
        <v>262</v>
      </c>
      <c r="C9" s="45" t="s">
        <v>253</v>
      </c>
      <c r="D9" s="46">
        <v>2992.92</v>
      </c>
      <c r="E9" s="47">
        <v>99.9456</v>
      </c>
      <c r="F9" s="48">
        <v>1604</v>
      </c>
      <c r="G9">
        <f>f_nav_unit(A9,C9)</f>
        <v>100.0655</v>
      </c>
    </row>
    <row r="10" ht="16.5" spans="1:7">
      <c r="A10" s="43" t="s">
        <v>263</v>
      </c>
      <c r="B10" s="44" t="s">
        <v>264</v>
      </c>
      <c r="C10" s="45" t="s">
        <v>253</v>
      </c>
      <c r="D10" s="46">
        <v>2968.06</v>
      </c>
      <c r="E10" s="47">
        <v>100.0091</v>
      </c>
      <c r="F10" s="48">
        <v>2614</v>
      </c>
      <c r="G10">
        <f>f_nav_unit(A10,C10)</f>
        <v>100.0841</v>
      </c>
    </row>
    <row r="11" ht="16.5" spans="1:7">
      <c r="A11" s="43" t="s">
        <v>107</v>
      </c>
      <c r="B11" s="44" t="s">
        <v>194</v>
      </c>
      <c r="C11" s="45" t="s">
        <v>253</v>
      </c>
      <c r="D11" s="46">
        <v>2958.89</v>
      </c>
      <c r="E11" s="47">
        <v>99.9821</v>
      </c>
      <c r="F11" s="48">
        <v>3854</v>
      </c>
      <c r="G11">
        <f>f_nav_unit(A11,C11)</f>
        <v>100.0918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8"/>
  <dimension ref="A1:P114"/>
  <sheetViews>
    <sheetView topLeftCell="A46" workbookViewId="0">
      <selection activeCell="G4" sqref="G4"/>
    </sheetView>
  </sheetViews>
  <sheetFormatPr defaultColWidth="9" defaultRowHeight="13.5"/>
  <cols>
    <col min="1" max="1" width="11.5"/>
    <col min="2" max="2" width="13" customWidth="1"/>
    <col min="3" max="3" width="17.125" customWidth="1"/>
    <col min="5" max="5" width="11.5" customWidth="1"/>
    <col min="6" max="6" width="10.375" customWidth="1"/>
    <col min="9" max="9" width="11.5" customWidth="1"/>
    <col min="10" max="11" width="17.125" customWidth="1"/>
    <col min="12" max="12" width="16" customWidth="1"/>
    <col min="13" max="14" width="11.5" customWidth="1"/>
  </cols>
  <sheetData>
    <row r="1" spans="1:3">
      <c r="A1" s="13" t="s">
        <v>79</v>
      </c>
      <c r="B1" s="13" t="s">
        <v>265</v>
      </c>
      <c r="C1" s="13" t="s">
        <v>266</v>
      </c>
    </row>
    <row r="2" hidden="1" spans="1:3">
      <c r="A2" s="29">
        <v>45845</v>
      </c>
      <c r="B2" s="29">
        <v>45947</v>
      </c>
      <c r="C2" s="16">
        <v>7000</v>
      </c>
    </row>
    <row r="3" hidden="1" spans="1:3">
      <c r="A3" s="29">
        <v>45855</v>
      </c>
      <c r="B3" s="29">
        <v>45947</v>
      </c>
      <c r="C3" s="16">
        <v>10000</v>
      </c>
    </row>
    <row r="4" hidden="1" spans="1:3">
      <c r="A4" s="30">
        <v>45856</v>
      </c>
      <c r="B4" s="30">
        <v>45948</v>
      </c>
      <c r="C4" s="16">
        <v>10000</v>
      </c>
    </row>
    <row r="5" hidden="1" spans="1:3">
      <c r="A5" s="30">
        <v>45856</v>
      </c>
      <c r="B5" s="30">
        <v>45870</v>
      </c>
      <c r="C5" s="16">
        <v>5000</v>
      </c>
    </row>
    <row r="6" hidden="1" spans="1:4">
      <c r="A6" s="30">
        <v>45859</v>
      </c>
      <c r="B6" s="30">
        <v>45870</v>
      </c>
      <c r="C6" s="16">
        <v>5000</v>
      </c>
      <c r="D6" s="30"/>
    </row>
    <row r="7" hidden="1" spans="1:3">
      <c r="A7" s="30">
        <v>45861</v>
      </c>
      <c r="B7" s="30">
        <v>45930</v>
      </c>
      <c r="C7" s="16">
        <v>30000</v>
      </c>
    </row>
    <row r="8" hidden="1" spans="1:3">
      <c r="A8" s="30">
        <v>45867</v>
      </c>
      <c r="B8" s="30">
        <v>45930</v>
      </c>
      <c r="C8" s="16">
        <v>20000</v>
      </c>
    </row>
    <row r="9" hidden="1" spans="1:3">
      <c r="A9" s="30">
        <v>45924</v>
      </c>
      <c r="B9" s="30">
        <v>45939</v>
      </c>
      <c r="C9" s="16">
        <v>5000</v>
      </c>
    </row>
    <row r="10" spans="1:3">
      <c r="A10" s="30">
        <v>45924</v>
      </c>
      <c r="B10" s="30">
        <v>46015</v>
      </c>
      <c r="C10" s="16">
        <v>5000</v>
      </c>
    </row>
    <row r="11" hidden="1" spans="1:3">
      <c r="A11" s="30">
        <v>45930</v>
      </c>
      <c r="B11" s="30">
        <v>45960</v>
      </c>
      <c r="C11" s="16">
        <v>30000</v>
      </c>
    </row>
    <row r="12" spans="1:3">
      <c r="A12" s="30">
        <v>45930</v>
      </c>
      <c r="B12" s="30">
        <v>45991</v>
      </c>
      <c r="C12" s="16">
        <v>20000</v>
      </c>
    </row>
    <row r="19" spans="1:3">
      <c r="A19" s="13" t="s">
        <v>79</v>
      </c>
      <c r="B19" s="13" t="s">
        <v>265</v>
      </c>
      <c r="C19" s="13" t="s">
        <v>266</v>
      </c>
    </row>
    <row r="20" spans="1:3">
      <c r="A20" s="30">
        <v>45924</v>
      </c>
      <c r="B20" s="30">
        <v>46015</v>
      </c>
      <c r="C20" s="16">
        <v>30000</v>
      </c>
    </row>
    <row r="21" spans="1:3">
      <c r="A21" s="30">
        <v>45924</v>
      </c>
      <c r="B21" s="30">
        <v>46015</v>
      </c>
      <c r="C21" s="16">
        <v>30000</v>
      </c>
    </row>
    <row r="22" spans="1:3">
      <c r="A22" s="30">
        <v>45924</v>
      </c>
      <c r="B22" s="30">
        <v>46015</v>
      </c>
      <c r="C22" s="16">
        <v>5000</v>
      </c>
    </row>
    <row r="23" spans="1:3">
      <c r="A23" s="30">
        <v>45924</v>
      </c>
      <c r="B23" s="30">
        <v>45939</v>
      </c>
      <c r="C23" s="16">
        <v>5000</v>
      </c>
    </row>
    <row r="25" spans="1:12">
      <c r="A25" s="30"/>
      <c r="B25" s="30"/>
      <c r="C25" s="16"/>
      <c r="J25" s="16">
        <v>300000000</v>
      </c>
      <c r="K25" s="30">
        <v>45924</v>
      </c>
      <c r="L25" s="30">
        <v>46015</v>
      </c>
    </row>
    <row r="26" spans="1:12">
      <c r="A26" s="30"/>
      <c r="B26" s="30"/>
      <c r="C26" s="16"/>
      <c r="J26" s="16">
        <v>300000000</v>
      </c>
      <c r="K26" s="30">
        <v>45924</v>
      </c>
      <c r="L26" s="30">
        <v>46015</v>
      </c>
    </row>
    <row r="27" spans="10:12">
      <c r="J27" s="16">
        <v>50000000</v>
      </c>
      <c r="K27" s="30">
        <v>45924</v>
      </c>
      <c r="L27" s="30">
        <v>46015</v>
      </c>
    </row>
    <row r="28" spans="10:12">
      <c r="J28" s="16">
        <v>50000000</v>
      </c>
      <c r="K28" s="30">
        <v>45924</v>
      </c>
      <c r="L28" s="30">
        <v>45939</v>
      </c>
    </row>
    <row r="33" spans="15:16">
      <c r="O33">
        <v>5.5</v>
      </c>
      <c r="P33">
        <f>O33*15</f>
        <v>82.5</v>
      </c>
    </row>
    <row r="35" spans="1:3">
      <c r="A35" s="13" t="s">
        <v>79</v>
      </c>
      <c r="B35" s="13" t="s">
        <v>265</v>
      </c>
      <c r="C35" s="13" t="s">
        <v>266</v>
      </c>
    </row>
    <row r="36" spans="1:3">
      <c r="A36" s="30">
        <v>45930</v>
      </c>
      <c r="B36" s="30">
        <v>45960</v>
      </c>
      <c r="C36" s="16">
        <v>30000</v>
      </c>
    </row>
    <row r="37" spans="1:3">
      <c r="A37" s="30">
        <v>45930</v>
      </c>
      <c r="B37" s="30">
        <v>45991</v>
      </c>
      <c r="C37" s="16">
        <v>20000</v>
      </c>
    </row>
    <row r="41" spans="1:3">
      <c r="A41" s="13" t="s">
        <v>79</v>
      </c>
      <c r="B41" s="13" t="s">
        <v>265</v>
      </c>
      <c r="C41" s="13" t="s">
        <v>266</v>
      </c>
    </row>
    <row r="42" spans="1:3">
      <c r="A42" s="30">
        <v>45960</v>
      </c>
      <c r="B42" s="30">
        <v>46021</v>
      </c>
      <c r="C42" s="16">
        <v>30000</v>
      </c>
    </row>
    <row r="46" spans="1:3">
      <c r="A46" s="13" t="s">
        <v>79</v>
      </c>
      <c r="B46" s="13" t="s">
        <v>265</v>
      </c>
      <c r="C46" s="13" t="s">
        <v>266</v>
      </c>
    </row>
    <row r="47" spans="1:3">
      <c r="A47" s="30">
        <v>45960</v>
      </c>
      <c r="B47" s="30">
        <v>46021</v>
      </c>
      <c r="C47" s="16">
        <v>30000</v>
      </c>
    </row>
    <row r="50" spans="1:3">
      <c r="A50" s="13" t="s">
        <v>79</v>
      </c>
      <c r="B50" s="13" t="s">
        <v>265</v>
      </c>
      <c r="C50" s="13" t="s">
        <v>266</v>
      </c>
    </row>
    <row r="51" spans="1:4">
      <c r="A51" s="30">
        <v>45962</v>
      </c>
      <c r="B51" s="30">
        <v>46022</v>
      </c>
      <c r="C51" s="31">
        <v>5000</v>
      </c>
      <c r="D51" s="16"/>
    </row>
    <row r="54" spans="1:3">
      <c r="A54" s="13" t="s">
        <v>79</v>
      </c>
      <c r="B54" s="13" t="s">
        <v>265</v>
      </c>
      <c r="C54" s="13" t="s">
        <v>266</v>
      </c>
    </row>
    <row r="55" spans="1:3">
      <c r="A55" s="30">
        <v>45979</v>
      </c>
      <c r="B55" s="30">
        <v>46022</v>
      </c>
      <c r="C55" s="31">
        <v>4000</v>
      </c>
    </row>
    <row r="59" spans="1:3">
      <c r="A59" s="13" t="s">
        <v>79</v>
      </c>
      <c r="B59" s="13" t="s">
        <v>265</v>
      </c>
      <c r="C59" s="13" t="s">
        <v>266</v>
      </c>
    </row>
    <row r="60" spans="1:3">
      <c r="A60" s="30">
        <v>45960</v>
      </c>
      <c r="B60" s="30">
        <v>46021</v>
      </c>
      <c r="C60" s="16">
        <v>297924217.5</v>
      </c>
    </row>
    <row r="61" spans="1:3">
      <c r="A61" s="30">
        <v>45987</v>
      </c>
      <c r="B61" s="30">
        <v>46079</v>
      </c>
      <c r="C61" s="16">
        <v>75575690</v>
      </c>
    </row>
    <row r="62" spans="1:3">
      <c r="A62" s="30">
        <v>45992</v>
      </c>
      <c r="B62" s="30">
        <v>46082</v>
      </c>
      <c r="C62" s="16">
        <v>299424000</v>
      </c>
    </row>
    <row r="63" spans="1:11">
      <c r="A63" s="30">
        <v>45999</v>
      </c>
      <c r="B63" s="30">
        <v>46079</v>
      </c>
      <c r="C63" s="16">
        <v>74566550</v>
      </c>
      <c r="I63" t="s">
        <v>131</v>
      </c>
      <c r="J63" t="s">
        <v>132</v>
      </c>
      <c r="K63" t="s">
        <v>100</v>
      </c>
    </row>
    <row r="64" spans="9:11">
      <c r="I64" t="s">
        <v>107</v>
      </c>
      <c r="J64" t="s">
        <v>108</v>
      </c>
      <c r="K64" t="s">
        <v>100</v>
      </c>
    </row>
    <row r="65" spans="9:11">
      <c r="I65" t="s">
        <v>131</v>
      </c>
      <c r="J65" t="s">
        <v>132</v>
      </c>
      <c r="K65" t="s">
        <v>100</v>
      </c>
    </row>
    <row r="66" spans="1:3">
      <c r="A66" s="13" t="s">
        <v>79</v>
      </c>
      <c r="B66" s="13" t="s">
        <v>265</v>
      </c>
      <c r="C66" s="13" t="s">
        <v>50</v>
      </c>
    </row>
    <row r="67" spans="1:3">
      <c r="A67" s="30">
        <v>46003</v>
      </c>
      <c r="B67" s="30">
        <v>46093</v>
      </c>
      <c r="C67" s="16">
        <v>110168300</v>
      </c>
    </row>
    <row r="68" spans="1:14">
      <c r="A68" s="30">
        <v>46006</v>
      </c>
      <c r="B68" s="30">
        <v>46082</v>
      </c>
      <c r="C68" s="16">
        <v>498520000</v>
      </c>
      <c r="H68" s="32" t="s">
        <v>102</v>
      </c>
      <c r="I68" s="30">
        <v>45960</v>
      </c>
      <c r="J68" s="30">
        <v>46021</v>
      </c>
      <c r="K68" s="16">
        <v>297924217.5</v>
      </c>
      <c r="M68" s="30">
        <v>45960</v>
      </c>
      <c r="N68" s="30">
        <v>46021</v>
      </c>
    </row>
    <row r="69" spans="8:14">
      <c r="H69" t="s">
        <v>132</v>
      </c>
      <c r="I69" s="30">
        <v>45987</v>
      </c>
      <c r="J69" s="30">
        <v>46079</v>
      </c>
      <c r="K69" s="16">
        <v>75575690</v>
      </c>
      <c r="L69" s="16">
        <f>K69-K71</f>
        <v>1009140</v>
      </c>
      <c r="M69" s="30">
        <v>45987</v>
      </c>
      <c r="N69" s="30">
        <v>46079</v>
      </c>
    </row>
    <row r="70" spans="8:14">
      <c r="H70" t="s">
        <v>108</v>
      </c>
      <c r="I70" s="30">
        <v>45992</v>
      </c>
      <c r="J70" s="30">
        <v>46082</v>
      </c>
      <c r="K70" s="16">
        <v>299424000</v>
      </c>
      <c r="M70" s="30">
        <v>45992</v>
      </c>
      <c r="N70" s="30">
        <v>46082</v>
      </c>
    </row>
    <row r="71" spans="8:14">
      <c r="H71" t="s">
        <v>132</v>
      </c>
      <c r="I71" s="30">
        <v>45999</v>
      </c>
      <c r="J71" s="30">
        <v>46079</v>
      </c>
      <c r="K71" s="16">
        <v>74566550</v>
      </c>
      <c r="M71" s="30">
        <v>45999</v>
      </c>
      <c r="N71" s="30">
        <v>46079</v>
      </c>
    </row>
    <row r="72" spans="1:3">
      <c r="A72" s="13" t="s">
        <v>79</v>
      </c>
      <c r="B72" s="13" t="s">
        <v>265</v>
      </c>
      <c r="C72" s="13" t="s">
        <v>50</v>
      </c>
    </row>
    <row r="73" spans="1:3">
      <c r="A73" s="30">
        <v>46014</v>
      </c>
      <c r="B73" s="30">
        <v>46027</v>
      </c>
      <c r="C73" s="16">
        <v>149779500</v>
      </c>
    </row>
    <row r="76" spans="5:6">
      <c r="E76" s="30"/>
      <c r="F76" s="30"/>
    </row>
    <row r="78" spans="7:7">
      <c r="G78" s="33"/>
    </row>
    <row r="79" spans="5:7">
      <c r="E79" s="16"/>
      <c r="F79" s="30"/>
      <c r="G79" s="30"/>
    </row>
    <row r="80" spans="1:7">
      <c r="A80" s="16"/>
      <c r="E80" s="16"/>
      <c r="F80" s="30"/>
      <c r="G80" s="30"/>
    </row>
    <row r="81" spans="5:7">
      <c r="E81" s="16"/>
      <c r="F81" s="30"/>
      <c r="G81" s="30"/>
    </row>
    <row r="82" spans="5:7">
      <c r="E82" s="16"/>
      <c r="F82" s="30"/>
      <c r="G82" s="30"/>
    </row>
    <row r="83" spans="5:7">
      <c r="E83" s="34"/>
      <c r="F83" s="35"/>
      <c r="G83" s="35"/>
    </row>
    <row r="84" spans="5:7">
      <c r="E84" s="16"/>
      <c r="F84" s="30"/>
      <c r="G84" s="30"/>
    </row>
    <row r="85" spans="5:7">
      <c r="E85" s="16"/>
      <c r="F85" s="30"/>
      <c r="G85" s="30"/>
    </row>
    <row r="86" spans="5:7">
      <c r="E86" s="16"/>
      <c r="F86" s="30"/>
      <c r="G86" s="30"/>
    </row>
    <row r="87" spans="5:7">
      <c r="E87" s="23"/>
      <c r="F87" s="36"/>
      <c r="G87" s="36"/>
    </row>
    <row r="88" spans="5:7">
      <c r="E88" s="16"/>
      <c r="F88" s="30"/>
      <c r="G88" s="30"/>
    </row>
    <row r="89" spans="5:7">
      <c r="E89" s="37"/>
      <c r="F89" s="30"/>
      <c r="G89" s="30"/>
    </row>
    <row r="90" spans="5:7">
      <c r="E90" s="38"/>
      <c r="F90" s="39"/>
      <c r="G90" s="39"/>
    </row>
    <row r="91" spans="5:7">
      <c r="E91" s="16"/>
      <c r="F91" s="30"/>
      <c r="G91" s="30"/>
    </row>
    <row r="92" ht="14.25" spans="5:7">
      <c r="E92" s="40"/>
      <c r="F92" s="41"/>
      <c r="G92" s="41"/>
    </row>
    <row r="93" spans="5:7">
      <c r="E93" s="16"/>
      <c r="F93" s="30"/>
      <c r="G93" s="30"/>
    </row>
    <row r="94" spans="5:7">
      <c r="E94" s="16"/>
      <c r="F94" s="30"/>
      <c r="G94" s="30"/>
    </row>
    <row r="95" ht="14.25" spans="5:7">
      <c r="E95" s="40"/>
      <c r="F95" s="41"/>
      <c r="G95" s="41"/>
    </row>
    <row r="96" spans="5:7">
      <c r="E96" s="16"/>
      <c r="F96" s="30"/>
      <c r="G96" s="30"/>
    </row>
    <row r="97" spans="5:7">
      <c r="E97" s="16"/>
      <c r="F97" s="30"/>
      <c r="G97" s="30"/>
    </row>
    <row r="98" spans="5:7">
      <c r="E98" s="16"/>
      <c r="F98" s="30"/>
      <c r="G98" s="30"/>
    </row>
    <row r="99" spans="5:7">
      <c r="E99" s="16"/>
      <c r="F99" s="30"/>
      <c r="G99" s="30"/>
    </row>
    <row r="100" spans="5:7">
      <c r="E100" s="34"/>
      <c r="F100" s="30"/>
      <c r="G100" s="30"/>
    </row>
    <row r="101" spans="5:7">
      <c r="E101" s="16"/>
      <c r="F101" s="30"/>
      <c r="G101" s="30"/>
    </row>
    <row r="102" ht="14.25" spans="5:7">
      <c r="E102" s="40"/>
      <c r="F102" s="41"/>
      <c r="G102" s="41"/>
    </row>
    <row r="103" spans="5:7">
      <c r="E103" s="16"/>
      <c r="F103" s="30"/>
      <c r="G103" s="30"/>
    </row>
    <row r="104" spans="5:7">
      <c r="E104" s="16"/>
      <c r="F104" s="30"/>
      <c r="G104" s="30"/>
    </row>
    <row r="105" spans="5:7">
      <c r="E105" s="16"/>
      <c r="F105" s="30"/>
      <c r="G105" s="30"/>
    </row>
    <row r="106" spans="5:7">
      <c r="E106" s="16"/>
      <c r="F106" s="30"/>
      <c r="G106" s="30"/>
    </row>
    <row r="107" spans="5:7">
      <c r="E107" s="16"/>
      <c r="F107" s="30"/>
      <c r="G107" s="30"/>
    </row>
    <row r="108" spans="5:7">
      <c r="E108" s="16"/>
      <c r="F108" s="30"/>
      <c r="G108" s="30"/>
    </row>
    <row r="109" spans="5:7">
      <c r="E109" s="16"/>
      <c r="F109" s="30"/>
      <c r="G109" s="30"/>
    </row>
    <row r="110" spans="5:7">
      <c r="E110" s="16"/>
      <c r="F110" s="30"/>
      <c r="G110" s="30"/>
    </row>
    <row r="111" spans="5:7">
      <c r="E111" s="16"/>
      <c r="F111" s="30"/>
      <c r="G111" s="30"/>
    </row>
    <row r="112" spans="5:7">
      <c r="E112" s="16"/>
      <c r="F112" s="30"/>
      <c r="G112" s="30"/>
    </row>
    <row r="113" spans="5:7">
      <c r="E113" s="16"/>
      <c r="F113" s="30"/>
      <c r="G113" s="30"/>
    </row>
    <row r="114" spans="5:7">
      <c r="E114" s="16"/>
      <c r="F114" s="30"/>
      <c r="G114" s="30"/>
    </row>
  </sheetData>
  <autoFilter ref="A1:P12">
    <filterColumn colId="1">
      <filters>
        <dateGroupItem year="2025" month="11" dateTimeGrouping="month"/>
        <dateGroupItem year="2025" month="12" dateTimeGrouping="month"/>
      </filters>
    </filterColumn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20"/>
  <sheetViews>
    <sheetView workbookViewId="0">
      <selection activeCell="G4" sqref="G4"/>
    </sheetView>
  </sheetViews>
  <sheetFormatPr defaultColWidth="9" defaultRowHeight="13.5"/>
  <cols>
    <col min="2" max="2" width="11.5" customWidth="1"/>
    <col min="4" max="4" width="21.5" customWidth="1"/>
    <col min="5" max="5" width="12.875" customWidth="1"/>
  </cols>
  <sheetData>
    <row r="1" spans="1:12">
      <c r="A1" s="24" t="s">
        <v>267</v>
      </c>
      <c r="B1" s="24" t="s">
        <v>268</v>
      </c>
      <c r="C1" s="24" t="s">
        <v>269</v>
      </c>
      <c r="D1" s="24" t="s">
        <v>169</v>
      </c>
      <c r="E1" s="24" t="s">
        <v>146</v>
      </c>
      <c r="F1" s="24" t="s">
        <v>270</v>
      </c>
      <c r="G1" s="24" t="s">
        <v>271</v>
      </c>
      <c r="H1" s="24" t="s">
        <v>272</v>
      </c>
      <c r="I1" s="24" t="s">
        <v>273</v>
      </c>
      <c r="J1" s="24" t="s">
        <v>274</v>
      </c>
      <c r="K1" s="24" t="s">
        <v>275</v>
      </c>
      <c r="L1" s="24" t="s">
        <v>276</v>
      </c>
    </row>
    <row r="2" hidden="1" spans="1:12">
      <c r="A2" s="25" t="s">
        <v>277</v>
      </c>
      <c r="B2" s="26">
        <v>44368</v>
      </c>
      <c r="C2" s="27">
        <v>508001</v>
      </c>
      <c r="D2" s="25" t="s">
        <v>278</v>
      </c>
      <c r="E2" s="25" t="s">
        <v>279</v>
      </c>
      <c r="F2" s="25" t="s">
        <v>160</v>
      </c>
      <c r="G2" s="25"/>
      <c r="H2" s="25" t="s">
        <v>280</v>
      </c>
      <c r="I2" s="25"/>
      <c r="J2" s="25" t="s">
        <v>281</v>
      </c>
      <c r="K2" s="25" t="s">
        <v>282</v>
      </c>
      <c r="L2" s="25" t="s">
        <v>281</v>
      </c>
    </row>
    <row r="3" hidden="1" spans="1:12">
      <c r="A3" s="25" t="s">
        <v>277</v>
      </c>
      <c r="B3" s="26">
        <v>44616</v>
      </c>
      <c r="C3" s="27">
        <v>508099</v>
      </c>
      <c r="D3" s="25" t="s">
        <v>283</v>
      </c>
      <c r="E3" s="25" t="s">
        <v>284</v>
      </c>
      <c r="F3" s="25" t="s">
        <v>160</v>
      </c>
      <c r="G3" s="25"/>
      <c r="H3" s="25" t="s">
        <v>280</v>
      </c>
      <c r="I3" s="25"/>
      <c r="J3" s="25" t="s">
        <v>281</v>
      </c>
      <c r="K3" s="25" t="s">
        <v>282</v>
      </c>
      <c r="L3" s="25" t="s">
        <v>281</v>
      </c>
    </row>
    <row r="4" hidden="1" spans="1:12">
      <c r="A4" s="25" t="s">
        <v>277</v>
      </c>
      <c r="B4" s="26">
        <v>44904</v>
      </c>
      <c r="C4" s="27">
        <v>508077</v>
      </c>
      <c r="D4" s="25" t="s">
        <v>285</v>
      </c>
      <c r="E4" s="25" t="s">
        <v>183</v>
      </c>
      <c r="F4" s="25" t="s">
        <v>160</v>
      </c>
      <c r="G4" s="25"/>
      <c r="H4" s="25" t="s">
        <v>280</v>
      </c>
      <c r="I4" s="25"/>
      <c r="J4" s="25" t="s">
        <v>281</v>
      </c>
      <c r="K4" s="25" t="s">
        <v>282</v>
      </c>
      <c r="L4" s="25" t="s">
        <v>281</v>
      </c>
    </row>
    <row r="5" hidden="1" spans="1:12">
      <c r="A5" s="25" t="s">
        <v>277</v>
      </c>
      <c r="B5" s="26">
        <v>45014</v>
      </c>
      <c r="C5" s="27">
        <v>508028</v>
      </c>
      <c r="D5" s="25" t="s">
        <v>286</v>
      </c>
      <c r="E5" s="25" t="s">
        <v>287</v>
      </c>
      <c r="F5" s="25" t="s">
        <v>160</v>
      </c>
      <c r="G5" s="25"/>
      <c r="H5" s="25" t="s">
        <v>288</v>
      </c>
      <c r="I5" s="25"/>
      <c r="J5" s="25" t="s">
        <v>281</v>
      </c>
      <c r="K5" s="25" t="s">
        <v>282</v>
      </c>
      <c r="L5" s="25" t="s">
        <v>281</v>
      </c>
    </row>
    <row r="6" hidden="1" spans="1:12">
      <c r="A6" s="25" t="s">
        <v>277</v>
      </c>
      <c r="B6" s="26">
        <v>45455</v>
      </c>
      <c r="C6" s="25">
        <v>180601</v>
      </c>
      <c r="D6" s="25" t="s">
        <v>289</v>
      </c>
      <c r="E6" s="25" t="s">
        <v>183</v>
      </c>
      <c r="F6" s="25" t="s">
        <v>190</v>
      </c>
      <c r="G6" s="25"/>
      <c r="H6" s="25" t="s">
        <v>290</v>
      </c>
      <c r="I6" s="25"/>
      <c r="J6" s="25" t="s">
        <v>281</v>
      </c>
      <c r="K6" s="25" t="s">
        <v>282</v>
      </c>
      <c r="L6" s="25" t="s">
        <v>281</v>
      </c>
    </row>
    <row r="7" hidden="1" spans="1:12">
      <c r="A7" s="25" t="s">
        <v>277</v>
      </c>
      <c r="B7" s="26">
        <v>45463</v>
      </c>
      <c r="C7" s="27">
        <v>508017</v>
      </c>
      <c r="D7" s="25" t="s">
        <v>291</v>
      </c>
      <c r="E7" s="25" t="s">
        <v>183</v>
      </c>
      <c r="F7" s="25" t="s">
        <v>160</v>
      </c>
      <c r="G7" s="25"/>
      <c r="H7" s="25" t="s">
        <v>280</v>
      </c>
      <c r="I7" s="25"/>
      <c r="J7" s="25" t="s">
        <v>281</v>
      </c>
      <c r="K7" s="25" t="s">
        <v>282</v>
      </c>
      <c r="L7" s="25" t="s">
        <v>281</v>
      </c>
    </row>
    <row r="8" hidden="1" spans="1:12">
      <c r="A8" s="25" t="s">
        <v>277</v>
      </c>
      <c r="B8" s="26">
        <v>45496</v>
      </c>
      <c r="C8" s="27">
        <v>508015</v>
      </c>
      <c r="D8" s="25" t="s">
        <v>292</v>
      </c>
      <c r="E8" s="25" t="s">
        <v>287</v>
      </c>
      <c r="F8" s="25" t="s">
        <v>160</v>
      </c>
      <c r="G8" s="25"/>
      <c r="H8" s="25" t="s">
        <v>288</v>
      </c>
      <c r="I8" s="25"/>
      <c r="J8" s="25" t="s">
        <v>281</v>
      </c>
      <c r="K8" s="25" t="s">
        <v>282</v>
      </c>
      <c r="L8" s="25" t="s">
        <v>281</v>
      </c>
    </row>
    <row r="9" hidden="1" spans="1:12">
      <c r="A9" s="25" t="s">
        <v>277</v>
      </c>
      <c r="B9" s="26">
        <v>45532</v>
      </c>
      <c r="C9" s="27">
        <v>508005</v>
      </c>
      <c r="D9" s="25" t="s">
        <v>293</v>
      </c>
      <c r="E9" s="25" t="s">
        <v>183</v>
      </c>
      <c r="F9" s="25" t="s">
        <v>160</v>
      </c>
      <c r="G9" s="25"/>
      <c r="H9" s="25" t="s">
        <v>280</v>
      </c>
      <c r="I9" s="25"/>
      <c r="J9" s="25" t="s">
        <v>281</v>
      </c>
      <c r="K9" s="25" t="s">
        <v>282</v>
      </c>
      <c r="L9" s="25" t="s">
        <v>281</v>
      </c>
    </row>
    <row r="10" hidden="1" spans="1:12">
      <c r="A10" s="25" t="s">
        <v>277</v>
      </c>
      <c r="B10" s="26">
        <v>45554</v>
      </c>
      <c r="C10" s="25">
        <v>180603</v>
      </c>
      <c r="D10" s="25" t="s">
        <v>294</v>
      </c>
      <c r="E10" s="25" t="s">
        <v>183</v>
      </c>
      <c r="F10" s="25" t="s">
        <v>190</v>
      </c>
      <c r="G10" s="25"/>
      <c r="H10" s="25" t="s">
        <v>290</v>
      </c>
      <c r="I10" s="25"/>
      <c r="J10" s="25" t="s">
        <v>281</v>
      </c>
      <c r="K10" s="25" t="s">
        <v>282</v>
      </c>
      <c r="L10" s="25" t="s">
        <v>281</v>
      </c>
    </row>
    <row r="11" hidden="1" spans="1:12">
      <c r="A11" s="25" t="s">
        <v>277</v>
      </c>
      <c r="B11" s="26">
        <v>45597</v>
      </c>
      <c r="C11" s="27">
        <v>508069</v>
      </c>
      <c r="D11" s="25" t="s">
        <v>295</v>
      </c>
      <c r="E11" s="25" t="s">
        <v>183</v>
      </c>
      <c r="F11" s="25" t="s">
        <v>160</v>
      </c>
      <c r="G11" s="25"/>
      <c r="H11" s="25" t="s">
        <v>280</v>
      </c>
      <c r="I11" s="25"/>
      <c r="J11" s="25" t="s">
        <v>281</v>
      </c>
      <c r="K11" s="25" t="s">
        <v>282</v>
      </c>
      <c r="L11" s="25" t="s">
        <v>281</v>
      </c>
    </row>
    <row r="12" hidden="1" spans="1:12">
      <c r="A12" s="25" t="s">
        <v>277</v>
      </c>
      <c r="B12" s="26">
        <v>45651</v>
      </c>
      <c r="C12" s="27">
        <v>508048</v>
      </c>
      <c r="D12" s="25" t="s">
        <v>296</v>
      </c>
      <c r="E12" s="25" t="s">
        <v>297</v>
      </c>
      <c r="F12" s="25" t="s">
        <v>160</v>
      </c>
      <c r="G12" s="25"/>
      <c r="H12" s="25" t="s">
        <v>280</v>
      </c>
      <c r="I12" s="25"/>
      <c r="J12" s="25" t="s">
        <v>281</v>
      </c>
      <c r="K12" s="25" t="s">
        <v>282</v>
      </c>
      <c r="L12" s="25" t="s">
        <v>281</v>
      </c>
    </row>
    <row r="13" spans="1:12">
      <c r="A13" s="25" t="s">
        <v>277</v>
      </c>
      <c r="B13" s="28">
        <v>45681</v>
      </c>
      <c r="C13" s="25">
        <v>180605</v>
      </c>
      <c r="D13" s="25" t="s">
        <v>298</v>
      </c>
      <c r="E13" s="25" t="s">
        <v>159</v>
      </c>
      <c r="F13" s="25" t="s">
        <v>190</v>
      </c>
      <c r="G13" s="25" t="s">
        <v>299</v>
      </c>
      <c r="H13" s="25" t="s">
        <v>290</v>
      </c>
      <c r="I13" s="25"/>
      <c r="J13" s="25" t="s">
        <v>281</v>
      </c>
      <c r="K13" s="25" t="s">
        <v>282</v>
      </c>
      <c r="L13" s="25" t="s">
        <v>281</v>
      </c>
    </row>
    <row r="14" spans="1:12">
      <c r="A14" s="25" t="s">
        <v>277</v>
      </c>
      <c r="B14" s="26">
        <v>45790</v>
      </c>
      <c r="C14" s="27">
        <v>508055</v>
      </c>
      <c r="D14" s="25" t="s">
        <v>300</v>
      </c>
      <c r="E14" s="25" t="s">
        <v>301</v>
      </c>
      <c r="F14" s="25" t="s">
        <v>160</v>
      </c>
      <c r="G14" s="25" t="s">
        <v>299</v>
      </c>
      <c r="H14" s="25" t="s">
        <v>280</v>
      </c>
      <c r="I14" s="25"/>
      <c r="J14" s="25" t="s">
        <v>281</v>
      </c>
      <c r="K14" s="25" t="s">
        <v>282</v>
      </c>
      <c r="L14" s="25" t="s">
        <v>281</v>
      </c>
    </row>
    <row r="15" spans="1:12">
      <c r="A15" s="25" t="s">
        <v>277</v>
      </c>
      <c r="B15" s="26">
        <v>45798</v>
      </c>
      <c r="C15" s="27">
        <v>508085</v>
      </c>
      <c r="D15" s="25" t="s">
        <v>302</v>
      </c>
      <c r="E15" s="25" t="s">
        <v>303</v>
      </c>
      <c r="F15" s="25" t="s">
        <v>160</v>
      </c>
      <c r="G15" s="25" t="s">
        <v>299</v>
      </c>
      <c r="H15" s="25" t="s">
        <v>280</v>
      </c>
      <c r="I15" s="25"/>
      <c r="J15" s="25" t="s">
        <v>281</v>
      </c>
      <c r="K15" s="25" t="s">
        <v>282</v>
      </c>
      <c r="L15" s="25" t="s">
        <v>281</v>
      </c>
    </row>
    <row r="16" spans="1:12">
      <c r="A16" s="25" t="s">
        <v>277</v>
      </c>
      <c r="B16" s="26">
        <v>45834</v>
      </c>
      <c r="C16" s="27">
        <v>508080</v>
      </c>
      <c r="D16" s="25" t="s">
        <v>304</v>
      </c>
      <c r="E16" s="25" t="s">
        <v>305</v>
      </c>
      <c r="F16" s="25" t="s">
        <v>160</v>
      </c>
      <c r="G16" s="25" t="s">
        <v>299</v>
      </c>
      <c r="H16" s="25" t="s">
        <v>280</v>
      </c>
      <c r="I16" s="25"/>
      <c r="J16" s="25" t="s">
        <v>281</v>
      </c>
      <c r="K16" s="25" t="s">
        <v>282</v>
      </c>
      <c r="L16" s="25" t="s">
        <v>281</v>
      </c>
    </row>
    <row r="17" spans="1:12">
      <c r="A17" s="25" t="s">
        <v>277</v>
      </c>
      <c r="B17" s="28">
        <v>45835</v>
      </c>
      <c r="C17" s="25">
        <v>180606</v>
      </c>
      <c r="D17" s="25" t="s">
        <v>306</v>
      </c>
      <c r="E17" s="25" t="s">
        <v>305</v>
      </c>
      <c r="F17" s="25" t="s">
        <v>190</v>
      </c>
      <c r="G17" s="25" t="s">
        <v>299</v>
      </c>
      <c r="H17" s="25" t="s">
        <v>290</v>
      </c>
      <c r="I17" s="25"/>
      <c r="J17" s="25" t="s">
        <v>281</v>
      </c>
      <c r="K17" s="25" t="s">
        <v>282</v>
      </c>
      <c r="L17" s="25" t="s">
        <v>281</v>
      </c>
    </row>
    <row r="18" spans="3:7">
      <c r="C18" s="21">
        <v>508039</v>
      </c>
      <c r="D18" s="21" t="s">
        <v>307</v>
      </c>
      <c r="E18" s="21" t="s">
        <v>308</v>
      </c>
      <c r="F18" s="21" t="s">
        <v>160</v>
      </c>
      <c r="G18" s="21" t="s">
        <v>309</v>
      </c>
    </row>
    <row r="19" spans="3:7">
      <c r="C19" s="21">
        <v>508016</v>
      </c>
      <c r="D19" s="21" t="s">
        <v>310</v>
      </c>
      <c r="E19" s="21" t="s">
        <v>183</v>
      </c>
      <c r="F19" s="21" t="s">
        <v>160</v>
      </c>
      <c r="G19" s="21" t="s">
        <v>309</v>
      </c>
    </row>
    <row r="20" spans="3:7">
      <c r="C20" s="21">
        <v>180305</v>
      </c>
      <c r="D20" s="21" t="s">
        <v>311</v>
      </c>
      <c r="E20" s="21" t="s">
        <v>247</v>
      </c>
      <c r="F20" s="21" t="s">
        <v>190</v>
      </c>
      <c r="G20" s="21" t="s">
        <v>309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P22"/>
  <sheetViews>
    <sheetView workbookViewId="0">
      <selection activeCell="G4" sqref="G4"/>
    </sheetView>
  </sheetViews>
  <sheetFormatPr defaultColWidth="9" defaultRowHeight="13.5"/>
  <cols>
    <col min="2" max="2" width="17.125" customWidth="1"/>
    <col min="3" max="5" width="10.625" customWidth="1"/>
    <col min="6" max="6" width="17.125" customWidth="1"/>
    <col min="7" max="7" width="19.25" customWidth="1"/>
    <col min="8" max="9" width="11.5"/>
    <col min="10" max="10" width="14.875"/>
    <col min="13" max="13" width="18.75" customWidth="1"/>
    <col min="14" max="14" width="16"/>
    <col min="15" max="15" width="12.625"/>
    <col min="17" max="17" width="12.625"/>
  </cols>
  <sheetData>
    <row r="1" spans="1:13">
      <c r="A1" s="13" t="s">
        <v>312</v>
      </c>
      <c r="B1" s="13" t="s">
        <v>216</v>
      </c>
      <c r="C1" s="13" t="s">
        <v>313</v>
      </c>
      <c r="D1" s="13" t="s">
        <v>314</v>
      </c>
      <c r="E1" s="13" t="s">
        <v>315</v>
      </c>
      <c r="F1" s="13" t="s">
        <v>316</v>
      </c>
      <c r="G1" s="13" t="s">
        <v>317</v>
      </c>
      <c r="H1" s="13" t="s">
        <v>316</v>
      </c>
      <c r="I1" s="13" t="s">
        <v>318</v>
      </c>
      <c r="J1" s="13" t="s">
        <v>319</v>
      </c>
      <c r="K1" s="13" t="s">
        <v>320</v>
      </c>
      <c r="L1" s="13"/>
      <c r="M1" s="13" t="s">
        <v>321</v>
      </c>
    </row>
    <row r="2" spans="1:12">
      <c r="A2" s="14" t="s">
        <v>322</v>
      </c>
      <c r="B2" s="14" t="s">
        <v>323</v>
      </c>
      <c r="C2" t="s">
        <v>324</v>
      </c>
      <c r="D2">
        <v>1.76</v>
      </c>
      <c r="E2" s="15">
        <v>0.51</v>
      </c>
      <c r="F2" s="16">
        <v>5000</v>
      </c>
      <c r="G2" t="str">
        <f>VLOOKUP(B2,data!A:T,20,FALSE)</f>
        <v>沪AAA科创债</v>
      </c>
      <c r="H2" s="16">
        <v>5000</v>
      </c>
      <c r="I2" s="16">
        <v>5000</v>
      </c>
      <c r="J2" s="16">
        <v>1000000</v>
      </c>
      <c r="K2" s="21">
        <v>2.5</v>
      </c>
      <c r="L2" t="s">
        <v>324</v>
      </c>
    </row>
    <row r="3" spans="1:12">
      <c r="A3" t="s">
        <v>143</v>
      </c>
      <c r="B3" t="s">
        <v>117</v>
      </c>
      <c r="C3" t="s">
        <v>325</v>
      </c>
      <c r="F3" s="16">
        <v>30000</v>
      </c>
      <c r="G3" t="str">
        <f>VLOOKUP(B3,data!A:T,20,FALSE)</f>
        <v>AAA科创债</v>
      </c>
      <c r="H3" s="16">
        <v>30000</v>
      </c>
      <c r="I3" s="16">
        <v>0</v>
      </c>
      <c r="J3" s="16">
        <v>3000000</v>
      </c>
      <c r="K3" s="21">
        <v>2.5</v>
      </c>
      <c r="L3" t="s">
        <v>325</v>
      </c>
    </row>
    <row r="4" spans="1:13">
      <c r="A4" s="14" t="s">
        <v>142</v>
      </c>
      <c r="B4" s="14" t="s">
        <v>120</v>
      </c>
      <c r="C4" t="s">
        <v>324</v>
      </c>
      <c r="D4">
        <v>1.05</v>
      </c>
      <c r="E4" s="15">
        <v>0.32</v>
      </c>
      <c r="F4" s="16">
        <v>5000</v>
      </c>
      <c r="G4" t="str">
        <f>VLOOKUP(B4,data!A:T,20,FALSE)</f>
        <v>沪AAA科创债</v>
      </c>
      <c r="H4" s="16">
        <v>5000</v>
      </c>
      <c r="I4" s="16">
        <v>5000</v>
      </c>
      <c r="J4">
        <v>0</v>
      </c>
      <c r="K4" s="21"/>
      <c r="L4" t="s">
        <v>324</v>
      </c>
      <c r="M4" t="s">
        <v>326</v>
      </c>
    </row>
    <row r="5" ht="14.25" spans="1:12">
      <c r="A5" s="17" t="s">
        <v>141</v>
      </c>
      <c r="B5" s="17" t="s">
        <v>115</v>
      </c>
      <c r="C5" s="18" t="s">
        <v>325</v>
      </c>
      <c r="D5" s="18">
        <v>4</v>
      </c>
      <c r="E5" s="19">
        <v>0.3</v>
      </c>
      <c r="F5" s="20">
        <v>20000</v>
      </c>
      <c r="G5" t="str">
        <f>VLOOKUP(B5,data!A:T,20,FALSE)</f>
        <v>AAA科创债</v>
      </c>
      <c r="H5" s="20">
        <v>10000</v>
      </c>
      <c r="I5" s="20">
        <v>20000</v>
      </c>
      <c r="J5" s="18">
        <v>0</v>
      </c>
      <c r="K5" s="22" t="s">
        <v>327</v>
      </c>
      <c r="L5" t="s">
        <v>325</v>
      </c>
    </row>
    <row r="6" ht="14.25" spans="6:10">
      <c r="F6" s="16">
        <f>SUM(F2:F5)</f>
        <v>60000</v>
      </c>
      <c r="H6">
        <f>SUM(H2:H5)</f>
        <v>50000</v>
      </c>
      <c r="I6" s="16">
        <v>25000</v>
      </c>
      <c r="J6" s="16">
        <f>SUM(J2:J5)</f>
        <v>4000000</v>
      </c>
    </row>
    <row r="11" spans="1:1">
      <c r="A11" t="s">
        <v>328</v>
      </c>
    </row>
    <row r="12" spans="1:16">
      <c r="A12" t="s">
        <v>329</v>
      </c>
      <c r="B12" t="s">
        <v>330</v>
      </c>
      <c r="N12" s="23"/>
      <c r="P12" s="14"/>
    </row>
    <row r="13" spans="1:2">
      <c r="A13" t="s">
        <v>331</v>
      </c>
      <c r="B13" t="s">
        <v>332</v>
      </c>
    </row>
    <row r="14" spans="1:2">
      <c r="A14" t="s">
        <v>333</v>
      </c>
      <c r="B14" t="s">
        <v>334</v>
      </c>
    </row>
    <row r="19" spans="1:6">
      <c r="A19" t="s">
        <v>141</v>
      </c>
      <c r="B19" s="16">
        <v>300000000</v>
      </c>
      <c r="C19" s="16"/>
      <c r="D19" s="16"/>
      <c r="E19" s="16"/>
      <c r="F19" s="16"/>
    </row>
    <row r="20" spans="1:6">
      <c r="A20" t="s">
        <v>142</v>
      </c>
      <c r="B20" s="16">
        <v>100000000</v>
      </c>
      <c r="C20" s="16"/>
      <c r="D20" s="16"/>
      <c r="E20" s="16"/>
      <c r="F20" s="16"/>
    </row>
    <row r="21" spans="1:6">
      <c r="A21" t="s">
        <v>143</v>
      </c>
      <c r="B21" s="16">
        <v>300000000</v>
      </c>
      <c r="C21" s="16"/>
      <c r="D21" s="16"/>
      <c r="E21" s="16"/>
      <c r="F21" s="16"/>
    </row>
    <row r="22" spans="2:10">
      <c r="B22" s="16">
        <f>SUM(B18:B21)</f>
        <v>700000000</v>
      </c>
      <c r="C22" s="16"/>
      <c r="D22" s="16"/>
      <c r="E22" s="16"/>
      <c r="F22" s="16"/>
      <c r="J22" t="s">
        <v>335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W56"/>
  <sheetViews>
    <sheetView workbookViewId="0">
      <selection activeCell="G4" sqref="G4"/>
    </sheetView>
  </sheetViews>
  <sheetFormatPr defaultColWidth="9" defaultRowHeight="13.5"/>
  <cols>
    <col min="3" max="3" width="16.375" customWidth="1"/>
  </cols>
  <sheetData>
    <row r="1" spans="1:23">
      <c r="A1" s="1" t="s">
        <v>216</v>
      </c>
      <c r="B1" s="2" t="s">
        <v>336</v>
      </c>
      <c r="C1" s="2" t="s">
        <v>248</v>
      </c>
      <c r="D1" s="3" t="s">
        <v>337</v>
      </c>
      <c r="E1" s="3" t="s">
        <v>338</v>
      </c>
      <c r="F1" s="3" t="s">
        <v>339</v>
      </c>
      <c r="G1" s="3" t="s">
        <v>340</v>
      </c>
      <c r="H1" s="3" t="s">
        <v>320</v>
      </c>
      <c r="I1" s="3" t="s">
        <v>341</v>
      </c>
      <c r="J1" s="3" t="s">
        <v>342</v>
      </c>
      <c r="K1" s="3" t="s">
        <v>343</v>
      </c>
      <c r="L1" s="3" t="s">
        <v>344</v>
      </c>
      <c r="M1" s="3" t="s">
        <v>345</v>
      </c>
      <c r="N1" s="3" t="s">
        <v>346</v>
      </c>
      <c r="O1" s="2" t="s">
        <v>347</v>
      </c>
      <c r="P1" s="3" t="s">
        <v>348</v>
      </c>
      <c r="Q1" s="3" t="s">
        <v>349</v>
      </c>
      <c r="R1" s="3" t="s">
        <v>350</v>
      </c>
      <c r="S1" s="2" t="s">
        <v>351</v>
      </c>
      <c r="T1" s="2" t="s">
        <v>317</v>
      </c>
      <c r="U1" s="3" t="s">
        <v>352</v>
      </c>
      <c r="V1" s="3" t="s">
        <v>353</v>
      </c>
      <c r="W1" s="2" t="s">
        <v>354</v>
      </c>
    </row>
    <row r="2" spans="1:23">
      <c r="A2" s="4" t="s">
        <v>355</v>
      </c>
      <c r="B2" s="5" t="s">
        <v>356</v>
      </c>
      <c r="C2" s="5" t="s">
        <v>357</v>
      </c>
      <c r="D2" s="6">
        <v>116.24</v>
      </c>
      <c r="E2" s="6">
        <v>0.025</v>
      </c>
      <c r="F2" s="6">
        <v>0.0002</v>
      </c>
      <c r="G2" s="6">
        <v>0</v>
      </c>
      <c r="H2" s="6">
        <v>558628207</v>
      </c>
      <c r="I2" s="6">
        <v>0.2034</v>
      </c>
      <c r="J2" s="6">
        <v>-0.0016</v>
      </c>
      <c r="K2" s="6">
        <v>0.0028</v>
      </c>
      <c r="L2" s="6">
        <v>23627500</v>
      </c>
      <c r="M2" s="6">
        <v>2751873660</v>
      </c>
      <c r="N2" s="6">
        <v>-874217.5</v>
      </c>
      <c r="O2" s="5" t="s">
        <v>358</v>
      </c>
      <c r="P2" s="6">
        <v>11190000</v>
      </c>
      <c r="Q2" s="6">
        <v>89.96984925</v>
      </c>
      <c r="R2" s="6">
        <v>0</v>
      </c>
      <c r="S2" s="5" t="s">
        <v>359</v>
      </c>
      <c r="T2" s="5" t="s">
        <v>360</v>
      </c>
      <c r="U2" s="6"/>
      <c r="V2" s="6"/>
      <c r="W2" s="5" t="s">
        <v>361</v>
      </c>
    </row>
    <row r="3" spans="1:23">
      <c r="A3" s="4" t="s">
        <v>362</v>
      </c>
      <c r="B3" s="5" t="s">
        <v>356</v>
      </c>
      <c r="C3" s="5" t="s">
        <v>363</v>
      </c>
      <c r="D3" s="6">
        <v>105.94</v>
      </c>
      <c r="E3" s="6">
        <v>-0.02</v>
      </c>
      <c r="F3" s="6">
        <v>-0.0002</v>
      </c>
      <c r="G3" s="6">
        <v>0</v>
      </c>
      <c r="H3" s="6">
        <v>107002493</v>
      </c>
      <c r="I3" s="6">
        <v>0.1083</v>
      </c>
      <c r="J3" s="6">
        <v>-0.0012</v>
      </c>
      <c r="K3" s="6">
        <v>0.0021</v>
      </c>
      <c r="L3" s="6">
        <v>9326300</v>
      </c>
      <c r="M3" s="6">
        <v>988936603.6</v>
      </c>
      <c r="N3" s="6">
        <v>-545588.55</v>
      </c>
      <c r="O3" s="5" t="s">
        <v>358</v>
      </c>
      <c r="P3" s="6">
        <v>1430000</v>
      </c>
      <c r="Q3" s="6">
        <v>18.1097476</v>
      </c>
      <c r="R3" s="6">
        <v>0</v>
      </c>
      <c r="S3" s="5" t="s">
        <v>364</v>
      </c>
      <c r="T3" s="5" t="s">
        <v>365</v>
      </c>
      <c r="U3" s="6"/>
      <c r="V3" s="6"/>
      <c r="W3" s="5" t="s">
        <v>361</v>
      </c>
    </row>
    <row r="4" spans="1:23">
      <c r="A4" s="4" t="s">
        <v>366</v>
      </c>
      <c r="B4" s="5" t="s">
        <v>356</v>
      </c>
      <c r="C4" s="5" t="s">
        <v>367</v>
      </c>
      <c r="D4" s="6">
        <v>10.113</v>
      </c>
      <c r="E4" s="6">
        <v>-0.01</v>
      </c>
      <c r="F4" s="6">
        <v>-0.0012</v>
      </c>
      <c r="G4" s="6">
        <v>0</v>
      </c>
      <c r="H4" s="6">
        <v>550281539</v>
      </c>
      <c r="I4" s="6">
        <v>0.0223</v>
      </c>
      <c r="J4" s="6">
        <v>-0.0032</v>
      </c>
      <c r="K4" s="6">
        <v>0.0079</v>
      </c>
      <c r="L4" s="6">
        <v>2440881400</v>
      </c>
      <c r="M4" s="6">
        <v>24756883688</v>
      </c>
      <c r="N4" s="6">
        <v>-10251701.88</v>
      </c>
      <c r="O4" s="5" t="s">
        <v>358</v>
      </c>
      <c r="P4" s="6">
        <v>1104000000</v>
      </c>
      <c r="Q4" s="6">
        <v>82.58024983</v>
      </c>
      <c r="R4" s="6">
        <v>0</v>
      </c>
      <c r="S4" s="5" t="s">
        <v>368</v>
      </c>
      <c r="T4" s="5" t="s">
        <v>369</v>
      </c>
      <c r="U4" s="6"/>
      <c r="V4" s="6"/>
      <c r="W4" s="5" t="s">
        <v>361</v>
      </c>
    </row>
    <row r="5" spans="1:23">
      <c r="A5" s="4" t="s">
        <v>370</v>
      </c>
      <c r="B5" s="5" t="s">
        <v>356</v>
      </c>
      <c r="C5" s="5" t="s">
        <v>371</v>
      </c>
      <c r="D5" s="6">
        <v>112.34</v>
      </c>
      <c r="E5" s="6">
        <v>-0.01</v>
      </c>
      <c r="F5" s="6">
        <v>-0.0001</v>
      </c>
      <c r="G5" s="6">
        <v>0</v>
      </c>
      <c r="H5" s="6">
        <v>30858871103</v>
      </c>
      <c r="I5" s="6">
        <v>0.5301</v>
      </c>
      <c r="J5" s="6">
        <v>0.0001</v>
      </c>
      <c r="K5" s="6">
        <v>0.0108</v>
      </c>
      <c r="L5" s="6">
        <v>518120600</v>
      </c>
      <c r="M5" s="6">
        <v>58215564307</v>
      </c>
      <c r="N5" s="6">
        <v>-300272711.5</v>
      </c>
      <c r="O5" s="5" t="s">
        <v>358</v>
      </c>
      <c r="P5" s="6">
        <v>254072000</v>
      </c>
      <c r="Q5" s="6">
        <v>96.2216804</v>
      </c>
      <c r="R5" s="6">
        <v>0</v>
      </c>
      <c r="S5" s="5" t="s">
        <v>372</v>
      </c>
      <c r="T5" s="5" t="s">
        <v>373</v>
      </c>
      <c r="U5" s="6"/>
      <c r="V5" s="6"/>
      <c r="W5" s="5" t="s">
        <v>361</v>
      </c>
    </row>
    <row r="6" spans="1:23">
      <c r="A6" s="4" t="s">
        <v>101</v>
      </c>
      <c r="B6" s="5" t="s">
        <v>356</v>
      </c>
      <c r="C6" s="5" t="s">
        <v>374</v>
      </c>
      <c r="D6" s="6">
        <v>133.91</v>
      </c>
      <c r="E6" s="6">
        <v>-0.22</v>
      </c>
      <c r="F6" s="6">
        <v>-0.0016</v>
      </c>
      <c r="G6" s="6">
        <v>-0.0015</v>
      </c>
      <c r="H6" s="6">
        <v>4526867486</v>
      </c>
      <c r="I6" s="6">
        <v>0.2991</v>
      </c>
      <c r="J6" s="6">
        <v>-0.0044</v>
      </c>
      <c r="K6" s="6">
        <v>-0.0021</v>
      </c>
      <c r="L6" s="6">
        <v>112906500</v>
      </c>
      <c r="M6" s="6">
        <v>15160181568</v>
      </c>
      <c r="N6" s="6">
        <v>-169585563</v>
      </c>
      <c r="O6" s="5" t="s">
        <v>210</v>
      </c>
      <c r="P6" s="6">
        <v>93580000</v>
      </c>
      <c r="Q6" s="6">
        <v>484.2056244</v>
      </c>
      <c r="R6" s="6">
        <v>134.105</v>
      </c>
      <c r="S6" s="5" t="s">
        <v>375</v>
      </c>
      <c r="T6" s="5" t="s">
        <v>376</v>
      </c>
      <c r="U6" s="6"/>
      <c r="V6" s="6"/>
      <c r="W6" s="5" t="s">
        <v>361</v>
      </c>
    </row>
    <row r="7" spans="1:23">
      <c r="A7" s="4" t="s">
        <v>377</v>
      </c>
      <c r="B7" s="5" t="s">
        <v>356</v>
      </c>
      <c r="C7" s="5" t="s">
        <v>378</v>
      </c>
      <c r="D7" s="6">
        <v>106</v>
      </c>
      <c r="E7" s="6">
        <v>-0.04</v>
      </c>
      <c r="F7" s="6">
        <v>-0.0004</v>
      </c>
      <c r="G7" s="6">
        <v>0</v>
      </c>
      <c r="H7" s="6">
        <v>1857114505</v>
      </c>
      <c r="I7" s="6">
        <v>0.0814</v>
      </c>
      <c r="J7" s="6">
        <v>-0.0014</v>
      </c>
      <c r="K7" s="6">
        <v>0.0086</v>
      </c>
      <c r="L7" s="6">
        <v>215250700</v>
      </c>
      <c r="M7" s="6">
        <v>22844040189</v>
      </c>
      <c r="N7" s="6">
        <v>-4907715.96</v>
      </c>
      <c r="O7" s="5" t="s">
        <v>379</v>
      </c>
      <c r="P7" s="6">
        <v>-822256400</v>
      </c>
      <c r="Q7" s="6">
        <v>-79.25308656</v>
      </c>
      <c r="R7" s="6">
        <v>0</v>
      </c>
      <c r="S7" s="5" t="s">
        <v>380</v>
      </c>
      <c r="T7" s="5" t="s">
        <v>381</v>
      </c>
      <c r="U7" s="6"/>
      <c r="V7" s="6"/>
      <c r="W7" s="5" t="s">
        <v>361</v>
      </c>
    </row>
    <row r="8" spans="1:23">
      <c r="A8" s="4" t="s">
        <v>382</v>
      </c>
      <c r="B8" s="5" t="s">
        <v>356</v>
      </c>
      <c r="C8" s="5" t="s">
        <v>383</v>
      </c>
      <c r="D8" s="6">
        <v>117.63</v>
      </c>
      <c r="E8" s="6">
        <v>-0.56</v>
      </c>
      <c r="F8" s="6">
        <v>-0.0047</v>
      </c>
      <c r="G8" s="6">
        <v>0</v>
      </c>
      <c r="H8" s="6">
        <v>9147796284</v>
      </c>
      <c r="I8" s="6">
        <v>0.3015</v>
      </c>
      <c r="J8" s="6">
        <v>-0.0156</v>
      </c>
      <c r="K8" s="6">
        <v>-0.041</v>
      </c>
      <c r="L8" s="6">
        <v>257198100</v>
      </c>
      <c r="M8" s="6">
        <v>30393948231</v>
      </c>
      <c r="N8" s="6">
        <v>-500888062.5</v>
      </c>
      <c r="O8" s="5" t="s">
        <v>384</v>
      </c>
      <c r="P8" s="6">
        <v>208780000</v>
      </c>
      <c r="Q8" s="6">
        <v>431.2023809</v>
      </c>
      <c r="R8" s="6">
        <v>0</v>
      </c>
      <c r="S8" s="5" t="s">
        <v>385</v>
      </c>
      <c r="T8" s="5" t="s">
        <v>386</v>
      </c>
      <c r="U8" s="6"/>
      <c r="V8" s="6"/>
      <c r="W8" s="5" t="s">
        <v>361</v>
      </c>
    </row>
    <row r="9" spans="1:23">
      <c r="A9" s="4" t="s">
        <v>387</v>
      </c>
      <c r="B9" s="5" t="s">
        <v>356</v>
      </c>
      <c r="C9" s="5" t="s">
        <v>388</v>
      </c>
      <c r="D9" s="6">
        <v>106.87</v>
      </c>
      <c r="E9" s="6">
        <v>-0.06</v>
      </c>
      <c r="F9" s="6">
        <v>-0.0006</v>
      </c>
      <c r="G9" s="6">
        <v>-0.0002</v>
      </c>
      <c r="H9" s="6">
        <v>604277146</v>
      </c>
      <c r="I9" s="6">
        <v>0.1643</v>
      </c>
      <c r="J9" s="6">
        <v>-0.0006</v>
      </c>
      <c r="K9" s="6">
        <v>0.0042</v>
      </c>
      <c r="L9" s="6">
        <v>34400196</v>
      </c>
      <c r="M9" s="6">
        <v>3678402638</v>
      </c>
      <c r="N9" s="6">
        <v>-1414496.04</v>
      </c>
      <c r="O9" s="5" t="s">
        <v>163</v>
      </c>
      <c r="P9" s="6">
        <v>-16126000</v>
      </c>
      <c r="Q9" s="6">
        <v>-31.91611733</v>
      </c>
      <c r="R9" s="6">
        <v>106.9</v>
      </c>
      <c r="S9" s="5" t="s">
        <v>389</v>
      </c>
      <c r="T9" s="5" t="s">
        <v>390</v>
      </c>
      <c r="U9" s="6"/>
      <c r="V9" s="6"/>
      <c r="W9" s="5" t="s">
        <v>391</v>
      </c>
    </row>
    <row r="10" spans="1:23">
      <c r="A10" s="4" t="s">
        <v>392</v>
      </c>
      <c r="B10" s="5" t="s">
        <v>356</v>
      </c>
      <c r="C10" s="5" t="s">
        <v>393</v>
      </c>
      <c r="D10" s="6">
        <v>106.33</v>
      </c>
      <c r="E10" s="6">
        <v>-0.01</v>
      </c>
      <c r="F10" s="6">
        <v>-0.0001</v>
      </c>
      <c r="G10" s="6">
        <v>0</v>
      </c>
      <c r="H10" s="6">
        <v>3307321</v>
      </c>
      <c r="I10" s="6">
        <v>0.0065</v>
      </c>
      <c r="J10" s="6">
        <v>-0.0001</v>
      </c>
      <c r="K10" s="6">
        <v>0.0033</v>
      </c>
      <c r="L10" s="6">
        <v>4768448</v>
      </c>
      <c r="M10" s="6">
        <v>507165930.3</v>
      </c>
      <c r="N10" s="6">
        <v>-1384342.525</v>
      </c>
      <c r="O10" s="5" t="s">
        <v>379</v>
      </c>
      <c r="P10" s="6">
        <v>-14768000</v>
      </c>
      <c r="Q10" s="6">
        <v>-75.59204212</v>
      </c>
      <c r="R10" s="6">
        <v>106.334</v>
      </c>
      <c r="S10" s="5" t="s">
        <v>389</v>
      </c>
      <c r="T10" s="5" t="s">
        <v>390</v>
      </c>
      <c r="U10" s="6"/>
      <c r="V10" s="6"/>
      <c r="W10" s="5" t="s">
        <v>391</v>
      </c>
    </row>
    <row r="11" spans="1:23">
      <c r="A11" s="4" t="s">
        <v>394</v>
      </c>
      <c r="B11" s="5" t="s">
        <v>356</v>
      </c>
      <c r="C11" s="5" t="s">
        <v>395</v>
      </c>
      <c r="D11" s="6">
        <v>108.06</v>
      </c>
      <c r="E11" s="6">
        <v>-0.02</v>
      </c>
      <c r="F11" s="6">
        <v>-0.0002</v>
      </c>
      <c r="G11" s="6">
        <v>0</v>
      </c>
      <c r="H11" s="6">
        <v>390913615</v>
      </c>
      <c r="I11" s="6">
        <v>0.1729</v>
      </c>
      <c r="J11" s="6">
        <v>-0.0007</v>
      </c>
      <c r="K11" s="6">
        <v>0.0025</v>
      </c>
      <c r="L11" s="6">
        <v>20921877</v>
      </c>
      <c r="M11" s="6">
        <v>2261705116</v>
      </c>
      <c r="N11" s="6">
        <v>-3037418.459</v>
      </c>
      <c r="O11" s="5" t="s">
        <v>297</v>
      </c>
      <c r="P11" s="6">
        <v>-43360000</v>
      </c>
      <c r="Q11" s="6">
        <v>-67.45291523</v>
      </c>
      <c r="R11" s="6">
        <v>108.052</v>
      </c>
      <c r="S11" s="5" t="s">
        <v>396</v>
      </c>
      <c r="T11" s="5" t="s">
        <v>397</v>
      </c>
      <c r="U11" s="6"/>
      <c r="V11" s="6"/>
      <c r="W11" s="5" t="s">
        <v>391</v>
      </c>
    </row>
    <row r="12" spans="1:23">
      <c r="A12" s="4" t="s">
        <v>398</v>
      </c>
      <c r="B12" s="5" t="s">
        <v>356</v>
      </c>
      <c r="C12" s="5" t="s">
        <v>399</v>
      </c>
      <c r="D12" s="6">
        <v>114.09</v>
      </c>
      <c r="E12" s="6">
        <v>-0.18</v>
      </c>
      <c r="F12" s="6">
        <v>-0.0016</v>
      </c>
      <c r="G12" s="6">
        <v>0</v>
      </c>
      <c r="H12" s="6">
        <v>5577268396</v>
      </c>
      <c r="I12" s="6">
        <v>0.1231</v>
      </c>
      <c r="J12" s="6">
        <v>-0.0038</v>
      </c>
      <c r="K12" s="6">
        <v>-0.0082</v>
      </c>
      <c r="L12" s="6">
        <v>396786500</v>
      </c>
      <c r="M12" s="6">
        <v>45356188671</v>
      </c>
      <c r="N12" s="6">
        <v>-258767844.5</v>
      </c>
      <c r="O12" s="5" t="s">
        <v>195</v>
      </c>
      <c r="P12" s="6">
        <v>73150000</v>
      </c>
      <c r="Q12" s="6">
        <v>22.60251857</v>
      </c>
      <c r="R12" s="6">
        <v>0</v>
      </c>
      <c r="S12" s="5" t="s">
        <v>400</v>
      </c>
      <c r="T12" s="5" t="s">
        <v>401</v>
      </c>
      <c r="U12" s="6"/>
      <c r="V12" s="6"/>
      <c r="W12" s="5" t="s">
        <v>361</v>
      </c>
    </row>
    <row r="13" spans="1:23">
      <c r="A13" s="4" t="s">
        <v>402</v>
      </c>
      <c r="B13" s="5" t="s">
        <v>356</v>
      </c>
      <c r="C13" s="5" t="s">
        <v>403</v>
      </c>
      <c r="D13" s="6">
        <v>100.02</v>
      </c>
      <c r="E13" s="6">
        <v>-0.2</v>
      </c>
      <c r="F13" s="6">
        <v>-0.002</v>
      </c>
      <c r="G13" s="6">
        <v>0</v>
      </c>
      <c r="H13" s="6">
        <v>4736150426</v>
      </c>
      <c r="I13" s="6">
        <v>0.2377</v>
      </c>
      <c r="J13" s="6">
        <v>-0.0062</v>
      </c>
      <c r="K13" s="6">
        <v>0</v>
      </c>
      <c r="L13" s="6">
        <v>199027500</v>
      </c>
      <c r="M13" s="6">
        <v>20032595541</v>
      </c>
      <c r="N13" s="6">
        <v>-118554861.3</v>
      </c>
      <c r="O13" s="5" t="s">
        <v>183</v>
      </c>
      <c r="P13" s="6"/>
      <c r="Q13" s="6"/>
      <c r="R13" s="6">
        <v>0</v>
      </c>
      <c r="S13" s="5" t="s">
        <v>404</v>
      </c>
      <c r="T13" s="5" t="s">
        <v>405</v>
      </c>
      <c r="U13" s="6"/>
      <c r="V13" s="6"/>
      <c r="W13" s="5" t="s">
        <v>361</v>
      </c>
    </row>
    <row r="14" spans="1:23">
      <c r="A14" s="4" t="s">
        <v>406</v>
      </c>
      <c r="B14" s="5" t="s">
        <v>356</v>
      </c>
      <c r="C14" s="5" t="s">
        <v>407</v>
      </c>
      <c r="D14" s="6">
        <v>99.751</v>
      </c>
      <c r="E14" s="6">
        <v>-0.19</v>
      </c>
      <c r="F14" s="6">
        <v>-0.0019</v>
      </c>
      <c r="G14" s="6">
        <v>0</v>
      </c>
      <c r="H14" s="6">
        <v>4821967880</v>
      </c>
      <c r="I14" s="6">
        <v>0.2301</v>
      </c>
      <c r="J14" s="6">
        <v>-0.0059</v>
      </c>
      <c r="K14" s="6">
        <v>0</v>
      </c>
      <c r="L14" s="6">
        <v>209931000</v>
      </c>
      <c r="M14" s="6">
        <v>21062167299</v>
      </c>
      <c r="N14" s="6">
        <v>-19712520.9</v>
      </c>
      <c r="O14" s="5" t="s">
        <v>196</v>
      </c>
      <c r="P14" s="6"/>
      <c r="Q14" s="6"/>
      <c r="R14" s="6">
        <v>0</v>
      </c>
      <c r="S14" s="5" t="s">
        <v>404</v>
      </c>
      <c r="T14" s="5" t="s">
        <v>405</v>
      </c>
      <c r="U14" s="6"/>
      <c r="V14" s="6"/>
      <c r="W14" s="5" t="s">
        <v>361</v>
      </c>
    </row>
    <row r="15" spans="1:23">
      <c r="A15" s="4" t="s">
        <v>408</v>
      </c>
      <c r="B15" s="5" t="s">
        <v>356</v>
      </c>
      <c r="C15" s="5" t="s">
        <v>409</v>
      </c>
      <c r="D15" s="6">
        <v>99.968</v>
      </c>
      <c r="E15" s="6">
        <v>-0.19</v>
      </c>
      <c r="F15" s="6">
        <v>-0.0019</v>
      </c>
      <c r="G15" s="6">
        <v>0</v>
      </c>
      <c r="H15" s="6">
        <v>2664349243</v>
      </c>
      <c r="I15" s="6">
        <v>0.1246</v>
      </c>
      <c r="J15" s="6">
        <v>-0.0058</v>
      </c>
      <c r="K15" s="6">
        <v>0</v>
      </c>
      <c r="L15" s="6">
        <v>213699600</v>
      </c>
      <c r="M15" s="6">
        <v>21491854252</v>
      </c>
      <c r="N15" s="6">
        <v>-169319725.7</v>
      </c>
      <c r="O15" s="5" t="s">
        <v>159</v>
      </c>
      <c r="P15" s="6"/>
      <c r="Q15" s="6"/>
      <c r="R15" s="6">
        <v>0</v>
      </c>
      <c r="S15" s="5" t="s">
        <v>404</v>
      </c>
      <c r="T15" s="5" t="s">
        <v>405</v>
      </c>
      <c r="U15" s="6"/>
      <c r="V15" s="6"/>
      <c r="W15" s="5" t="s">
        <v>361</v>
      </c>
    </row>
    <row r="16" spans="1:23">
      <c r="A16" s="4" t="s">
        <v>410</v>
      </c>
      <c r="B16" s="5" t="s">
        <v>356</v>
      </c>
      <c r="C16" s="5" t="s">
        <v>411</v>
      </c>
      <c r="D16" s="6">
        <v>99.307</v>
      </c>
      <c r="E16" s="6">
        <v>-0.23</v>
      </c>
      <c r="F16" s="6">
        <v>-0.0023</v>
      </c>
      <c r="G16" s="6">
        <v>0</v>
      </c>
      <c r="H16" s="6">
        <v>3136217191</v>
      </c>
      <c r="I16" s="6">
        <v>0.2243</v>
      </c>
      <c r="J16" s="6">
        <v>-0.0063</v>
      </c>
      <c r="K16" s="6">
        <v>0</v>
      </c>
      <c r="L16" s="6">
        <v>140644300</v>
      </c>
      <c r="M16" s="6">
        <v>14057032110</v>
      </c>
      <c r="N16" s="6">
        <v>-11420317.16</v>
      </c>
      <c r="O16" s="5" t="s">
        <v>358</v>
      </c>
      <c r="P16" s="6"/>
      <c r="Q16" s="6"/>
      <c r="R16" s="6">
        <v>0</v>
      </c>
      <c r="S16" s="5" t="s">
        <v>404</v>
      </c>
      <c r="T16" s="5" t="s">
        <v>405</v>
      </c>
      <c r="U16" s="6"/>
      <c r="V16" s="6"/>
      <c r="W16" s="5" t="s">
        <v>361</v>
      </c>
    </row>
    <row r="17" spans="1:23">
      <c r="A17" s="4" t="s">
        <v>131</v>
      </c>
      <c r="B17" s="5" t="s">
        <v>356</v>
      </c>
      <c r="C17" s="5" t="s">
        <v>412</v>
      </c>
      <c r="D17" s="6">
        <v>107.41</v>
      </c>
      <c r="E17" s="6">
        <v>-0.21</v>
      </c>
      <c r="F17" s="6">
        <v>-0.0019</v>
      </c>
      <c r="G17" s="6">
        <v>0</v>
      </c>
      <c r="H17" s="6">
        <v>6484613553</v>
      </c>
      <c r="I17" s="6">
        <v>1.0219</v>
      </c>
      <c r="J17" s="6">
        <v>-0.0061</v>
      </c>
      <c r="K17" s="6">
        <v>-0.0109</v>
      </c>
      <c r="L17" s="6">
        <v>58960500</v>
      </c>
      <c r="M17" s="6">
        <v>6346938632</v>
      </c>
      <c r="N17" s="6">
        <v>-51431046.6</v>
      </c>
      <c r="O17" s="5" t="s">
        <v>183</v>
      </c>
      <c r="P17" s="6">
        <v>55550000</v>
      </c>
      <c r="Q17" s="6">
        <v>1628.793432</v>
      </c>
      <c r="R17" s="6">
        <v>0</v>
      </c>
      <c r="S17" s="5" t="s">
        <v>413</v>
      </c>
      <c r="T17" s="5" t="s">
        <v>414</v>
      </c>
      <c r="U17" s="6"/>
      <c r="V17" s="6"/>
      <c r="W17" s="5" t="s">
        <v>361</v>
      </c>
    </row>
    <row r="18" spans="1:23">
      <c r="A18" s="4" t="s">
        <v>415</v>
      </c>
      <c r="B18" s="5" t="s">
        <v>356</v>
      </c>
      <c r="C18" s="5" t="s">
        <v>416</v>
      </c>
      <c r="D18" s="6">
        <v>105.9</v>
      </c>
      <c r="E18" s="6">
        <v>-0.52</v>
      </c>
      <c r="F18" s="6">
        <v>-0.0049</v>
      </c>
      <c r="G18" s="6">
        <v>0</v>
      </c>
      <c r="H18" s="6">
        <v>3602529622</v>
      </c>
      <c r="I18" s="6">
        <v>0.1889</v>
      </c>
      <c r="J18" s="6">
        <v>-0.0162</v>
      </c>
      <c r="K18" s="6">
        <v>-0.039</v>
      </c>
      <c r="L18" s="6">
        <v>179679700</v>
      </c>
      <c r="M18" s="6">
        <v>19108954063</v>
      </c>
      <c r="N18" s="6">
        <v>-126967735.8</v>
      </c>
      <c r="O18" s="5" t="s">
        <v>163</v>
      </c>
      <c r="P18" s="6">
        <v>153388000</v>
      </c>
      <c r="Q18" s="6">
        <v>583.4084521</v>
      </c>
      <c r="R18" s="6">
        <v>0</v>
      </c>
      <c r="S18" s="5" t="s">
        <v>417</v>
      </c>
      <c r="T18" s="5" t="s">
        <v>418</v>
      </c>
      <c r="U18" s="6"/>
      <c r="V18" s="6"/>
      <c r="W18" s="5" t="s">
        <v>361</v>
      </c>
    </row>
    <row r="19" spans="1:23">
      <c r="A19" s="4" t="s">
        <v>103</v>
      </c>
      <c r="B19" s="5" t="s">
        <v>356</v>
      </c>
      <c r="C19" s="5" t="s">
        <v>104</v>
      </c>
      <c r="D19" s="6">
        <v>99.425</v>
      </c>
      <c r="E19" s="6">
        <v>-0.1</v>
      </c>
      <c r="F19" s="6">
        <v>-0.001</v>
      </c>
      <c r="G19" s="6">
        <v>0</v>
      </c>
      <c r="H19" s="6">
        <v>742606256</v>
      </c>
      <c r="I19" s="6">
        <v>0.0406</v>
      </c>
      <c r="J19" s="6">
        <v>-0.0021</v>
      </c>
      <c r="K19" s="6">
        <v>0</v>
      </c>
      <c r="L19" s="6">
        <v>183870000</v>
      </c>
      <c r="M19" s="6">
        <v>18307090098</v>
      </c>
      <c r="N19" s="6">
        <v>952648380</v>
      </c>
      <c r="O19" s="5" t="s">
        <v>176</v>
      </c>
      <c r="P19" s="6"/>
      <c r="Q19" s="6"/>
      <c r="R19" s="6">
        <v>0</v>
      </c>
      <c r="S19" s="5" t="s">
        <v>419</v>
      </c>
      <c r="T19" s="5" t="s">
        <v>420</v>
      </c>
      <c r="U19" s="6"/>
      <c r="V19" s="6"/>
      <c r="W19" s="5" t="s">
        <v>361</v>
      </c>
    </row>
    <row r="20" spans="1:23">
      <c r="A20" s="4" t="s">
        <v>263</v>
      </c>
      <c r="B20" s="5" t="s">
        <v>356</v>
      </c>
      <c r="C20" s="5" t="s">
        <v>421</v>
      </c>
      <c r="D20" s="6">
        <v>99.442</v>
      </c>
      <c r="E20" s="6">
        <v>-0.1</v>
      </c>
      <c r="F20" s="6">
        <v>-0.001</v>
      </c>
      <c r="G20" s="6">
        <v>0</v>
      </c>
      <c r="H20" s="6">
        <v>4608733777</v>
      </c>
      <c r="I20" s="6">
        <v>0.5581</v>
      </c>
      <c r="J20" s="6">
        <v>-0.0019</v>
      </c>
      <c r="K20" s="6">
        <v>0</v>
      </c>
      <c r="L20" s="6">
        <v>83000600</v>
      </c>
      <c r="M20" s="6">
        <v>8261946124</v>
      </c>
      <c r="N20" s="6">
        <v>674493636.7</v>
      </c>
      <c r="O20" s="5" t="s">
        <v>165</v>
      </c>
      <c r="P20" s="6"/>
      <c r="Q20" s="6"/>
      <c r="R20" s="6">
        <v>0</v>
      </c>
      <c r="S20" s="5" t="s">
        <v>419</v>
      </c>
      <c r="T20" s="5" t="s">
        <v>420</v>
      </c>
      <c r="U20" s="6"/>
      <c r="V20" s="6"/>
      <c r="W20" s="5" t="s">
        <v>361</v>
      </c>
    </row>
    <row r="21" spans="1:23">
      <c r="A21" s="4" t="s">
        <v>323</v>
      </c>
      <c r="B21" s="5" t="s">
        <v>356</v>
      </c>
      <c r="C21" s="5" t="s">
        <v>422</v>
      </c>
      <c r="D21" s="6">
        <v>99.908</v>
      </c>
      <c r="E21" s="6">
        <v>-0.01</v>
      </c>
      <c r="F21" s="6">
        <v>-0.0001</v>
      </c>
      <c r="G21" s="6">
        <v>0</v>
      </c>
      <c r="H21" s="6">
        <v>4796679360</v>
      </c>
      <c r="I21" s="6">
        <v>1.6113</v>
      </c>
      <c r="J21" s="6">
        <v>0</v>
      </c>
      <c r="K21" s="6">
        <v>0</v>
      </c>
      <c r="L21" s="6">
        <v>29797540</v>
      </c>
      <c r="M21" s="6">
        <v>2976681874</v>
      </c>
      <c r="N21" s="6">
        <v>-2050070.752</v>
      </c>
      <c r="O21" s="5" t="s">
        <v>423</v>
      </c>
      <c r="P21" s="6"/>
      <c r="Q21" s="6"/>
      <c r="R21" s="6">
        <v>0</v>
      </c>
      <c r="S21" s="5" t="s">
        <v>419</v>
      </c>
      <c r="T21" s="5" t="s">
        <v>420</v>
      </c>
      <c r="U21" s="6"/>
      <c r="V21" s="6"/>
      <c r="W21" s="5" t="s">
        <v>361</v>
      </c>
    </row>
    <row r="22" spans="1:23">
      <c r="A22" s="4" t="s">
        <v>330</v>
      </c>
      <c r="B22" s="5" t="s">
        <v>356</v>
      </c>
      <c r="C22" s="5" t="s">
        <v>424</v>
      </c>
      <c r="D22" s="6">
        <v>99.982</v>
      </c>
      <c r="E22" s="6">
        <v>0</v>
      </c>
      <c r="F22" s="6">
        <v>0</v>
      </c>
      <c r="G22" s="6">
        <v>0</v>
      </c>
      <c r="H22" s="6">
        <v>3951205468</v>
      </c>
      <c r="I22" s="6">
        <v>1.3382</v>
      </c>
      <c r="J22" s="6">
        <v>0</v>
      </c>
      <c r="K22" s="6">
        <v>0</v>
      </c>
      <c r="L22" s="6">
        <v>29530903</v>
      </c>
      <c r="M22" s="6">
        <v>2952688680</v>
      </c>
      <c r="N22" s="6">
        <v>-590618.06</v>
      </c>
      <c r="O22" s="5" t="s">
        <v>329</v>
      </c>
      <c r="P22" s="6"/>
      <c r="Q22" s="6"/>
      <c r="R22" s="6">
        <v>0</v>
      </c>
      <c r="S22" s="5" t="s">
        <v>419</v>
      </c>
      <c r="T22" s="5" t="s">
        <v>420</v>
      </c>
      <c r="U22" s="6"/>
      <c r="V22" s="6"/>
      <c r="W22" s="5" t="s">
        <v>361</v>
      </c>
    </row>
    <row r="23" spans="1:23">
      <c r="A23" s="4" t="s">
        <v>120</v>
      </c>
      <c r="B23" s="5" t="s">
        <v>356</v>
      </c>
      <c r="C23" s="5" t="s">
        <v>425</v>
      </c>
      <c r="D23" s="6">
        <v>99.94</v>
      </c>
      <c r="E23" s="6">
        <v>-0.05</v>
      </c>
      <c r="F23" s="6">
        <v>-0.0005</v>
      </c>
      <c r="G23" s="6">
        <v>0</v>
      </c>
      <c r="H23" s="6">
        <v>6182215060</v>
      </c>
      <c r="I23" s="6">
        <v>2.0688</v>
      </c>
      <c r="J23" s="6">
        <v>0</v>
      </c>
      <c r="K23" s="6">
        <v>0</v>
      </c>
      <c r="L23" s="6">
        <v>29900950</v>
      </c>
      <c r="M23" s="6">
        <v>2987891300</v>
      </c>
      <c r="N23" s="6">
        <v>-2125957.545</v>
      </c>
      <c r="O23" s="5" t="s">
        <v>208</v>
      </c>
      <c r="P23" s="6"/>
      <c r="Q23" s="6"/>
      <c r="R23" s="6">
        <v>0</v>
      </c>
      <c r="S23" s="5" t="s">
        <v>419</v>
      </c>
      <c r="T23" s="5" t="s">
        <v>420</v>
      </c>
      <c r="U23" s="6"/>
      <c r="V23" s="6"/>
      <c r="W23" s="5" t="s">
        <v>361</v>
      </c>
    </row>
    <row r="24" spans="1:23">
      <c r="A24" s="4" t="s">
        <v>254</v>
      </c>
      <c r="B24" s="5" t="s">
        <v>356</v>
      </c>
      <c r="C24" s="5" t="s">
        <v>426</v>
      </c>
      <c r="D24" s="6">
        <v>99.285</v>
      </c>
      <c r="E24" s="6">
        <v>-0.17</v>
      </c>
      <c r="F24" s="6">
        <v>-0.0017</v>
      </c>
      <c r="G24" s="6">
        <v>0</v>
      </c>
      <c r="H24" s="6">
        <v>1062985634</v>
      </c>
      <c r="I24" s="6">
        <v>0.1018</v>
      </c>
      <c r="J24" s="6">
        <v>-0.0026</v>
      </c>
      <c r="K24" s="6">
        <v>0</v>
      </c>
      <c r="L24" s="6">
        <v>105120100</v>
      </c>
      <c r="M24" s="6">
        <v>10460879583</v>
      </c>
      <c r="N24" s="6">
        <v>-6012869.72</v>
      </c>
      <c r="O24" s="5" t="s">
        <v>163</v>
      </c>
      <c r="P24" s="6"/>
      <c r="Q24" s="6"/>
      <c r="R24" s="6">
        <v>0</v>
      </c>
      <c r="S24" s="5" t="s">
        <v>419</v>
      </c>
      <c r="T24" s="5" t="s">
        <v>420</v>
      </c>
      <c r="U24" s="6"/>
      <c r="V24" s="6"/>
      <c r="W24" s="5" t="s">
        <v>361</v>
      </c>
    </row>
    <row r="25" spans="1:23">
      <c r="A25" s="4" t="s">
        <v>427</v>
      </c>
      <c r="B25" s="5" t="s">
        <v>356</v>
      </c>
      <c r="C25" s="5" t="s">
        <v>428</v>
      </c>
      <c r="D25" s="6">
        <v>12.349</v>
      </c>
      <c r="E25" s="6">
        <v>0.133</v>
      </c>
      <c r="F25" s="6">
        <v>0.0109</v>
      </c>
      <c r="G25" s="6">
        <v>0.0003</v>
      </c>
      <c r="H25" s="6">
        <v>2090265727</v>
      </c>
      <c r="I25" s="6">
        <v>0.2028</v>
      </c>
      <c r="J25" s="6">
        <v>-0.0022</v>
      </c>
      <c r="K25" s="6">
        <v>0.0994</v>
      </c>
      <c r="L25" s="6">
        <v>839059700</v>
      </c>
      <c r="M25" s="6">
        <v>10247268304</v>
      </c>
      <c r="N25" s="6">
        <v>-392700840</v>
      </c>
      <c r="O25" s="5" t="s">
        <v>358</v>
      </c>
      <c r="P25" s="6">
        <v>364000000</v>
      </c>
      <c r="Q25" s="6">
        <v>76.62194878</v>
      </c>
      <c r="R25" s="6">
        <v>12.3448</v>
      </c>
      <c r="S25" s="5" t="s">
        <v>429</v>
      </c>
      <c r="T25" s="5" t="s">
        <v>430</v>
      </c>
      <c r="U25" s="6"/>
      <c r="V25" s="6"/>
      <c r="W25" s="5" t="s">
        <v>361</v>
      </c>
    </row>
    <row r="26" spans="1:23">
      <c r="A26" s="4" t="s">
        <v>431</v>
      </c>
      <c r="B26" s="5" t="s">
        <v>356</v>
      </c>
      <c r="C26" s="5" t="s">
        <v>432</v>
      </c>
      <c r="D26" s="6">
        <v>108.04</v>
      </c>
      <c r="E26" s="6">
        <v>0.005</v>
      </c>
      <c r="F26" s="6">
        <v>0</v>
      </c>
      <c r="G26" s="6">
        <v>0</v>
      </c>
      <c r="H26" s="6">
        <v>324113</v>
      </c>
      <c r="I26" s="6">
        <v>0.0012</v>
      </c>
      <c r="J26" s="6">
        <v>-0.0001</v>
      </c>
      <c r="K26" s="6">
        <v>0.0047</v>
      </c>
      <c r="L26" s="6">
        <v>2438800</v>
      </c>
      <c r="M26" s="6">
        <v>263531606.5</v>
      </c>
      <c r="N26" s="6">
        <v>-47800.48</v>
      </c>
      <c r="O26" s="5" t="s">
        <v>172</v>
      </c>
      <c r="P26" s="6">
        <v>-3226000</v>
      </c>
      <c r="Q26" s="6">
        <v>-56.94817116</v>
      </c>
      <c r="R26" s="6">
        <v>0</v>
      </c>
      <c r="S26" s="5" t="s">
        <v>433</v>
      </c>
      <c r="T26" s="5" t="s">
        <v>434</v>
      </c>
      <c r="U26" s="6"/>
      <c r="V26" s="6"/>
      <c r="W26" s="5" t="s">
        <v>361</v>
      </c>
    </row>
    <row r="27" spans="1:23">
      <c r="A27" s="4" t="s">
        <v>261</v>
      </c>
      <c r="B27" s="5" t="s">
        <v>356</v>
      </c>
      <c r="C27" s="5" t="s">
        <v>435</v>
      </c>
      <c r="D27" s="6">
        <v>99.095</v>
      </c>
      <c r="E27" s="6">
        <v>-0.16</v>
      </c>
      <c r="F27" s="6">
        <v>-0.0016</v>
      </c>
      <c r="G27" s="6">
        <v>0</v>
      </c>
      <c r="H27" s="6">
        <v>74610704</v>
      </c>
      <c r="I27" s="6">
        <v>0.0069</v>
      </c>
      <c r="J27" s="6">
        <v>-0.0031</v>
      </c>
      <c r="K27" s="6">
        <v>0</v>
      </c>
      <c r="L27" s="6">
        <v>108999191</v>
      </c>
      <c r="M27" s="6">
        <v>10820229791</v>
      </c>
      <c r="N27" s="6">
        <v>-206851639.4</v>
      </c>
      <c r="O27" s="5" t="s">
        <v>196</v>
      </c>
      <c r="P27" s="6"/>
      <c r="Q27" s="6"/>
      <c r="R27" s="6">
        <v>0</v>
      </c>
      <c r="S27" s="5" t="s">
        <v>436</v>
      </c>
      <c r="T27" s="5" t="s">
        <v>437</v>
      </c>
      <c r="U27" s="6"/>
      <c r="V27" s="6"/>
      <c r="W27" s="5" t="s">
        <v>391</v>
      </c>
    </row>
    <row r="28" spans="1:23">
      <c r="A28" s="4" t="s">
        <v>438</v>
      </c>
      <c r="B28" s="5" t="s">
        <v>356</v>
      </c>
      <c r="C28" s="5" t="s">
        <v>439</v>
      </c>
      <c r="D28" s="6">
        <v>99.94</v>
      </c>
      <c r="E28" s="6">
        <v>0.007</v>
      </c>
      <c r="F28" s="6">
        <v>0.0001</v>
      </c>
      <c r="G28" s="6">
        <v>0</v>
      </c>
      <c r="H28" s="6">
        <v>4039066136</v>
      </c>
      <c r="I28" s="6">
        <v>1.3472</v>
      </c>
      <c r="J28" s="6">
        <v>0</v>
      </c>
      <c r="K28" s="6">
        <v>0</v>
      </c>
      <c r="L28" s="6">
        <v>29998786</v>
      </c>
      <c r="M28" s="6">
        <v>2997679689</v>
      </c>
      <c r="N28" s="6">
        <v>-1325946.341</v>
      </c>
      <c r="O28" s="5" t="s">
        <v>440</v>
      </c>
      <c r="P28" s="6"/>
      <c r="Q28" s="6"/>
      <c r="R28" s="6">
        <v>0</v>
      </c>
      <c r="S28" s="5" t="s">
        <v>436</v>
      </c>
      <c r="T28" s="5" t="s">
        <v>437</v>
      </c>
      <c r="U28" s="6"/>
      <c r="V28" s="6"/>
      <c r="W28" s="5" t="s">
        <v>361</v>
      </c>
    </row>
    <row r="29" spans="1:23">
      <c r="A29" s="4" t="s">
        <v>115</v>
      </c>
      <c r="B29" s="5" t="s">
        <v>356</v>
      </c>
      <c r="C29" s="5" t="s">
        <v>116</v>
      </c>
      <c r="D29" s="6">
        <v>99.943</v>
      </c>
      <c r="E29" s="6">
        <v>0.003</v>
      </c>
      <c r="F29" s="6">
        <v>0</v>
      </c>
      <c r="G29" s="6">
        <v>0</v>
      </c>
      <c r="H29" s="6">
        <v>6815160884</v>
      </c>
      <c r="I29" s="6">
        <v>2.2941</v>
      </c>
      <c r="J29" s="6">
        <v>0</v>
      </c>
      <c r="K29" s="6">
        <v>0</v>
      </c>
      <c r="L29" s="6">
        <v>29722743</v>
      </c>
      <c r="M29" s="6">
        <v>2970482019</v>
      </c>
      <c r="N29" s="6">
        <v>-1670418.157</v>
      </c>
      <c r="O29" s="5" t="s">
        <v>441</v>
      </c>
      <c r="P29" s="6"/>
      <c r="Q29" s="6"/>
      <c r="R29" s="6">
        <v>0</v>
      </c>
      <c r="S29" s="5" t="s">
        <v>436</v>
      </c>
      <c r="T29" s="5" t="s">
        <v>437</v>
      </c>
      <c r="U29" s="6"/>
      <c r="V29" s="6"/>
      <c r="W29" s="5" t="s">
        <v>391</v>
      </c>
    </row>
    <row r="30" spans="1:23">
      <c r="A30" s="4" t="s">
        <v>442</v>
      </c>
      <c r="B30" s="5" t="s">
        <v>356</v>
      </c>
      <c r="C30" s="5" t="s">
        <v>443</v>
      </c>
      <c r="D30" s="6">
        <v>99.912</v>
      </c>
      <c r="E30" s="6">
        <v>0.012</v>
      </c>
      <c r="F30" s="6">
        <v>0.0001</v>
      </c>
      <c r="G30" s="6">
        <v>0</v>
      </c>
      <c r="H30" s="6">
        <v>5271504829</v>
      </c>
      <c r="I30" s="6">
        <v>1.7846</v>
      </c>
      <c r="J30" s="6">
        <v>0</v>
      </c>
      <c r="K30" s="6">
        <v>0</v>
      </c>
      <c r="L30" s="6">
        <v>29563487</v>
      </c>
      <c r="M30" s="6">
        <v>2953392351</v>
      </c>
      <c r="N30" s="6">
        <v>-1986666.326</v>
      </c>
      <c r="O30" s="5" t="s">
        <v>297</v>
      </c>
      <c r="P30" s="6"/>
      <c r="Q30" s="6"/>
      <c r="R30" s="6">
        <v>0</v>
      </c>
      <c r="S30" s="5" t="s">
        <v>436</v>
      </c>
      <c r="T30" s="5" t="s">
        <v>437</v>
      </c>
      <c r="U30" s="6"/>
      <c r="V30" s="6"/>
      <c r="W30" s="5" t="s">
        <v>391</v>
      </c>
    </row>
    <row r="31" spans="1:23">
      <c r="A31" s="4" t="s">
        <v>109</v>
      </c>
      <c r="B31" s="5" t="s">
        <v>356</v>
      </c>
      <c r="C31" s="5" t="s">
        <v>110</v>
      </c>
      <c r="D31" s="6">
        <v>99.317</v>
      </c>
      <c r="E31" s="6">
        <v>-0.18</v>
      </c>
      <c r="F31" s="6">
        <v>-0.0018</v>
      </c>
      <c r="G31" s="6">
        <v>0</v>
      </c>
      <c r="H31" s="6">
        <v>5246462595</v>
      </c>
      <c r="I31" s="6">
        <v>0.3403</v>
      </c>
      <c r="J31" s="6">
        <v>-0.0026</v>
      </c>
      <c r="K31" s="6">
        <v>0</v>
      </c>
      <c r="L31" s="6">
        <v>155021700</v>
      </c>
      <c r="M31" s="6">
        <v>15422550855</v>
      </c>
      <c r="N31" s="6">
        <v>587708858.9</v>
      </c>
      <c r="O31" s="5" t="s">
        <v>172</v>
      </c>
      <c r="P31" s="6"/>
      <c r="Q31" s="6"/>
      <c r="R31" s="6">
        <v>0</v>
      </c>
      <c r="S31" s="5" t="s">
        <v>436</v>
      </c>
      <c r="T31" s="5" t="s">
        <v>437</v>
      </c>
      <c r="U31" s="6"/>
      <c r="V31" s="6"/>
      <c r="W31" s="5" t="s">
        <v>361</v>
      </c>
    </row>
    <row r="32" spans="1:23">
      <c r="A32" s="4" t="s">
        <v>334</v>
      </c>
      <c r="B32" s="5" t="s">
        <v>356</v>
      </c>
      <c r="C32" s="5" t="s">
        <v>444</v>
      </c>
      <c r="D32" s="6">
        <v>99.981</v>
      </c>
      <c r="E32" s="6">
        <v>0.013</v>
      </c>
      <c r="F32" s="6">
        <v>0.0001</v>
      </c>
      <c r="G32" s="6">
        <v>0</v>
      </c>
      <c r="H32" s="6">
        <v>3322695006</v>
      </c>
      <c r="I32" s="6">
        <v>1.1082</v>
      </c>
      <c r="J32" s="6">
        <v>0</v>
      </c>
      <c r="K32" s="6">
        <v>0</v>
      </c>
      <c r="L32" s="6">
        <v>29987830</v>
      </c>
      <c r="M32" s="6">
        <v>2997826388</v>
      </c>
      <c r="N32" s="6">
        <v>-371849.092</v>
      </c>
      <c r="O32" s="5" t="s">
        <v>333</v>
      </c>
      <c r="P32" s="6"/>
      <c r="Q32" s="6"/>
      <c r="R32" s="6">
        <v>0</v>
      </c>
      <c r="S32" s="5" t="s">
        <v>436</v>
      </c>
      <c r="T32" s="5" t="s">
        <v>437</v>
      </c>
      <c r="U32" s="6"/>
      <c r="V32" s="6"/>
      <c r="W32" s="5" t="s">
        <v>391</v>
      </c>
    </row>
    <row r="33" spans="1:23">
      <c r="A33" s="4" t="s">
        <v>332</v>
      </c>
      <c r="B33" s="5" t="s">
        <v>356</v>
      </c>
      <c r="C33" s="5" t="s">
        <v>445</v>
      </c>
      <c r="D33" s="6">
        <v>99.99</v>
      </c>
      <c r="E33" s="6">
        <v>-0.02</v>
      </c>
      <c r="F33" s="6">
        <v>-0.0002</v>
      </c>
      <c r="G33" s="6">
        <v>0</v>
      </c>
      <c r="H33" s="6">
        <v>2859348267</v>
      </c>
      <c r="I33" s="6">
        <v>0.9635</v>
      </c>
      <c r="J33" s="6">
        <v>0</v>
      </c>
      <c r="K33" s="6">
        <v>0</v>
      </c>
      <c r="L33" s="6">
        <v>29676755</v>
      </c>
      <c r="M33" s="6">
        <v>2967028547</v>
      </c>
      <c r="N33" s="6">
        <v>-617276.504</v>
      </c>
      <c r="O33" s="5" t="s">
        <v>331</v>
      </c>
      <c r="P33" s="6"/>
      <c r="Q33" s="6"/>
      <c r="R33" s="6">
        <v>0</v>
      </c>
      <c r="S33" s="5" t="s">
        <v>436</v>
      </c>
      <c r="T33" s="5" t="s">
        <v>437</v>
      </c>
      <c r="U33" s="6"/>
      <c r="V33" s="6"/>
      <c r="W33" s="5" t="s">
        <v>361</v>
      </c>
    </row>
    <row r="34" spans="1:23">
      <c r="A34" s="4" t="s">
        <v>446</v>
      </c>
      <c r="B34" s="5" t="s">
        <v>356</v>
      </c>
      <c r="C34" s="5" t="s">
        <v>447</v>
      </c>
      <c r="D34" s="6">
        <v>99.882</v>
      </c>
      <c r="E34" s="6">
        <v>-0.08</v>
      </c>
      <c r="F34" s="6">
        <v>-0.0008</v>
      </c>
      <c r="G34" s="6">
        <v>0</v>
      </c>
      <c r="H34" s="6">
        <v>4669918457</v>
      </c>
      <c r="I34" s="6">
        <v>1.563</v>
      </c>
      <c r="J34" s="6">
        <v>0</v>
      </c>
      <c r="K34" s="6">
        <v>0</v>
      </c>
      <c r="L34" s="6">
        <v>29906144</v>
      </c>
      <c r="M34" s="6">
        <v>2988000603</v>
      </c>
      <c r="N34" s="6">
        <v>-1148395.93</v>
      </c>
      <c r="O34" s="5" t="s">
        <v>448</v>
      </c>
      <c r="P34" s="6"/>
      <c r="Q34" s="6"/>
      <c r="R34" s="6">
        <v>0</v>
      </c>
      <c r="S34" s="5" t="s">
        <v>436</v>
      </c>
      <c r="T34" s="5" t="s">
        <v>437</v>
      </c>
      <c r="U34" s="6"/>
      <c r="V34" s="6"/>
      <c r="W34" s="5" t="s">
        <v>361</v>
      </c>
    </row>
    <row r="35" spans="1:23">
      <c r="A35" s="4" t="s">
        <v>256</v>
      </c>
      <c r="B35" s="5" t="s">
        <v>356</v>
      </c>
      <c r="C35" s="5" t="s">
        <v>449</v>
      </c>
      <c r="D35" s="6">
        <v>99.597</v>
      </c>
      <c r="E35" s="6">
        <v>-0.12</v>
      </c>
      <c r="F35" s="6">
        <v>-0.0012</v>
      </c>
      <c r="G35" s="6">
        <v>0</v>
      </c>
      <c r="H35" s="6">
        <v>5572584615</v>
      </c>
      <c r="I35" s="6">
        <v>0.4365</v>
      </c>
      <c r="J35" s="6">
        <v>-0.0018</v>
      </c>
      <c r="K35" s="6">
        <v>0</v>
      </c>
      <c r="L35" s="6">
        <v>128070000</v>
      </c>
      <c r="M35" s="6">
        <v>12777467058</v>
      </c>
      <c r="N35" s="6">
        <v>-6787710</v>
      </c>
      <c r="O35" s="5" t="s">
        <v>159</v>
      </c>
      <c r="P35" s="6"/>
      <c r="Q35" s="6"/>
      <c r="R35" s="6">
        <v>0</v>
      </c>
      <c r="S35" s="5" t="s">
        <v>436</v>
      </c>
      <c r="T35" s="5" t="s">
        <v>437</v>
      </c>
      <c r="U35" s="6"/>
      <c r="V35" s="6"/>
      <c r="W35" s="5" t="s">
        <v>361</v>
      </c>
    </row>
    <row r="36" spans="1:23">
      <c r="A36" s="4" t="s">
        <v>258</v>
      </c>
      <c r="B36" s="5" t="s">
        <v>356</v>
      </c>
      <c r="C36" s="5" t="s">
        <v>450</v>
      </c>
      <c r="D36" s="6">
        <v>99.35</v>
      </c>
      <c r="E36" s="6">
        <v>-0.19</v>
      </c>
      <c r="F36" s="6">
        <v>-0.0019</v>
      </c>
      <c r="G36" s="6">
        <v>0</v>
      </c>
      <c r="H36" s="6">
        <v>4553380937</v>
      </c>
      <c r="I36" s="6">
        <v>0.3146</v>
      </c>
      <c r="J36" s="6">
        <v>-0.0034</v>
      </c>
      <c r="K36" s="6">
        <v>0</v>
      </c>
      <c r="L36" s="6">
        <v>145452633</v>
      </c>
      <c r="M36" s="6">
        <v>14483664110</v>
      </c>
      <c r="N36" s="6">
        <v>-9105334.826</v>
      </c>
      <c r="O36" s="5" t="s">
        <v>195</v>
      </c>
      <c r="P36" s="6"/>
      <c r="Q36" s="6"/>
      <c r="R36" s="6">
        <v>0</v>
      </c>
      <c r="S36" s="5" t="s">
        <v>436</v>
      </c>
      <c r="T36" s="5" t="s">
        <v>437</v>
      </c>
      <c r="U36" s="6"/>
      <c r="V36" s="6"/>
      <c r="W36" s="5" t="s">
        <v>391</v>
      </c>
    </row>
    <row r="37" spans="1:23">
      <c r="A37" s="4" t="s">
        <v>451</v>
      </c>
      <c r="B37" s="5" t="s">
        <v>356</v>
      </c>
      <c r="C37" s="5" t="s">
        <v>452</v>
      </c>
      <c r="D37" s="6">
        <v>99.86</v>
      </c>
      <c r="E37" s="6">
        <v>-0.01</v>
      </c>
      <c r="F37" s="6">
        <v>-0.0001</v>
      </c>
      <c r="G37" s="6">
        <v>0</v>
      </c>
      <c r="H37" s="6">
        <v>4525078992</v>
      </c>
      <c r="I37" s="6">
        <v>1.555</v>
      </c>
      <c r="J37" s="6">
        <v>0</v>
      </c>
      <c r="K37" s="6">
        <v>0</v>
      </c>
      <c r="L37" s="6">
        <v>29136237</v>
      </c>
      <c r="M37" s="6">
        <v>2909911743</v>
      </c>
      <c r="N37" s="6">
        <v>-2444530.284</v>
      </c>
      <c r="O37" s="5" t="s">
        <v>453</v>
      </c>
      <c r="P37" s="6"/>
      <c r="Q37" s="6"/>
      <c r="R37" s="6">
        <v>0</v>
      </c>
      <c r="S37" s="5" t="s">
        <v>436</v>
      </c>
      <c r="T37" s="5" t="s">
        <v>437</v>
      </c>
      <c r="U37" s="6"/>
      <c r="V37" s="6"/>
      <c r="W37" s="5" t="s">
        <v>391</v>
      </c>
    </row>
    <row r="38" spans="1:23">
      <c r="A38" s="4" t="s">
        <v>107</v>
      </c>
      <c r="B38" s="5" t="s">
        <v>356</v>
      </c>
      <c r="C38" s="5" t="s">
        <v>108</v>
      </c>
      <c r="D38" s="6">
        <v>99.274</v>
      </c>
      <c r="E38" s="6">
        <v>-0.13</v>
      </c>
      <c r="F38" s="6">
        <v>-0.0013</v>
      </c>
      <c r="G38" s="6">
        <v>0</v>
      </c>
      <c r="H38" s="6">
        <v>1077348576</v>
      </c>
      <c r="I38" s="6">
        <v>0.0546</v>
      </c>
      <c r="J38" s="6">
        <v>-0.0029</v>
      </c>
      <c r="K38" s="6">
        <v>0</v>
      </c>
      <c r="L38" s="6">
        <v>198608913</v>
      </c>
      <c r="M38" s="6">
        <v>19748756708</v>
      </c>
      <c r="N38" s="6">
        <v>-13286936.28</v>
      </c>
      <c r="O38" s="5" t="s">
        <v>189</v>
      </c>
      <c r="P38" s="6"/>
      <c r="Q38" s="6"/>
      <c r="R38" s="6">
        <v>0</v>
      </c>
      <c r="S38" s="5" t="s">
        <v>436</v>
      </c>
      <c r="T38" s="5" t="s">
        <v>437</v>
      </c>
      <c r="U38" s="6"/>
      <c r="V38" s="6"/>
      <c r="W38" s="5" t="s">
        <v>391</v>
      </c>
    </row>
    <row r="39" spans="1:23">
      <c r="A39" s="4" t="s">
        <v>454</v>
      </c>
      <c r="B39" s="5" t="s">
        <v>356</v>
      </c>
      <c r="C39" s="5" t="s">
        <v>455</v>
      </c>
      <c r="D39" s="6">
        <v>99.931</v>
      </c>
      <c r="E39" s="6">
        <v>-0.01</v>
      </c>
      <c r="F39" s="6">
        <v>-0.0001</v>
      </c>
      <c r="G39" s="6">
        <v>0</v>
      </c>
      <c r="H39" s="6">
        <v>15195878783</v>
      </c>
      <c r="I39" s="6">
        <v>5.1346</v>
      </c>
      <c r="J39" s="6">
        <v>-0.0001</v>
      </c>
      <c r="K39" s="6">
        <v>0</v>
      </c>
      <c r="L39" s="6">
        <v>29611636</v>
      </c>
      <c r="M39" s="6">
        <v>2959167776</v>
      </c>
      <c r="N39" s="6">
        <v>-1898105.868</v>
      </c>
      <c r="O39" s="5" t="s">
        <v>301</v>
      </c>
      <c r="P39" s="6"/>
      <c r="Q39" s="6"/>
      <c r="R39" s="6">
        <v>0</v>
      </c>
      <c r="S39" s="5" t="s">
        <v>436</v>
      </c>
      <c r="T39" s="5" t="s">
        <v>437</v>
      </c>
      <c r="U39" s="6"/>
      <c r="V39" s="6"/>
      <c r="W39" s="5" t="s">
        <v>361</v>
      </c>
    </row>
    <row r="40" spans="1:23">
      <c r="A40" s="4" t="s">
        <v>105</v>
      </c>
      <c r="B40" s="5" t="s">
        <v>356</v>
      </c>
      <c r="C40" s="5" t="s">
        <v>106</v>
      </c>
      <c r="D40" s="6">
        <v>99.249</v>
      </c>
      <c r="E40" s="6">
        <v>-0.13</v>
      </c>
      <c r="F40" s="6">
        <v>-0.0013</v>
      </c>
      <c r="G40" s="6">
        <v>0</v>
      </c>
      <c r="H40" s="6">
        <v>4398959699</v>
      </c>
      <c r="I40" s="6">
        <v>0.2882</v>
      </c>
      <c r="J40" s="6">
        <v>-0.0028</v>
      </c>
      <c r="K40" s="6">
        <v>0</v>
      </c>
      <c r="L40" s="6">
        <v>153768200</v>
      </c>
      <c r="M40" s="6">
        <v>15296245463</v>
      </c>
      <c r="N40" s="6">
        <v>-9994933</v>
      </c>
      <c r="O40" s="5" t="s">
        <v>183</v>
      </c>
      <c r="P40" s="6"/>
      <c r="Q40" s="6"/>
      <c r="R40" s="6">
        <v>0</v>
      </c>
      <c r="S40" s="5" t="s">
        <v>436</v>
      </c>
      <c r="T40" s="5" t="s">
        <v>437</v>
      </c>
      <c r="U40" s="6"/>
      <c r="V40" s="6"/>
      <c r="W40" s="5" t="s">
        <v>361</v>
      </c>
    </row>
    <row r="41" spans="1:23">
      <c r="A41" s="4" t="s">
        <v>117</v>
      </c>
      <c r="B41" s="5" t="s">
        <v>356</v>
      </c>
      <c r="C41" s="5" t="s">
        <v>456</v>
      </c>
      <c r="D41" s="6">
        <v>99.94</v>
      </c>
      <c r="E41" s="6">
        <v>-0.03</v>
      </c>
      <c r="F41" s="6">
        <v>-0.0003</v>
      </c>
      <c r="G41" s="6">
        <v>0</v>
      </c>
      <c r="H41" s="6">
        <v>11382136867</v>
      </c>
      <c r="I41" s="6">
        <v>3.8139</v>
      </c>
      <c r="J41" s="6">
        <v>0</v>
      </c>
      <c r="K41" s="6">
        <v>0</v>
      </c>
      <c r="L41" s="6">
        <v>29861418</v>
      </c>
      <c r="M41" s="6">
        <v>2984203794</v>
      </c>
      <c r="N41" s="6">
        <v>-1358694.519</v>
      </c>
      <c r="O41" s="5" t="s">
        <v>210</v>
      </c>
      <c r="P41" s="6"/>
      <c r="Q41" s="6"/>
      <c r="R41" s="6">
        <v>0</v>
      </c>
      <c r="S41" s="5" t="s">
        <v>436</v>
      </c>
      <c r="T41" s="5" t="s">
        <v>437</v>
      </c>
      <c r="U41" s="6"/>
      <c r="V41" s="6"/>
      <c r="W41" s="5" t="s">
        <v>361</v>
      </c>
    </row>
    <row r="42" spans="1:23">
      <c r="A42" s="4" t="s">
        <v>457</v>
      </c>
      <c r="B42" s="5" t="s">
        <v>356</v>
      </c>
      <c r="C42" s="5" t="s">
        <v>458</v>
      </c>
      <c r="D42" s="6">
        <v>99.87</v>
      </c>
      <c r="E42" s="6">
        <v>-0.02</v>
      </c>
      <c r="F42" s="6">
        <v>-0.0002</v>
      </c>
      <c r="G42" s="6">
        <v>0</v>
      </c>
      <c r="H42" s="6">
        <v>1972236657</v>
      </c>
      <c r="I42" s="6">
        <v>0.6604</v>
      </c>
      <c r="J42" s="6">
        <v>0</v>
      </c>
      <c r="K42" s="6">
        <v>0</v>
      </c>
      <c r="L42" s="6">
        <v>29896676</v>
      </c>
      <c r="M42" s="6">
        <v>2986274327</v>
      </c>
      <c r="N42" s="6">
        <v>-2908946.575</v>
      </c>
      <c r="O42" s="5" t="s">
        <v>459</v>
      </c>
      <c r="P42" s="6"/>
      <c r="Q42" s="6"/>
      <c r="R42" s="6">
        <v>0</v>
      </c>
      <c r="S42" s="5" t="s">
        <v>436</v>
      </c>
      <c r="T42" s="5" t="s">
        <v>437</v>
      </c>
      <c r="U42" s="6"/>
      <c r="V42" s="6"/>
      <c r="W42" s="5" t="s">
        <v>391</v>
      </c>
    </row>
    <row r="43" spans="1:23">
      <c r="A43" s="4" t="s">
        <v>460</v>
      </c>
      <c r="B43" s="5" t="s">
        <v>356</v>
      </c>
      <c r="C43" s="5" t="s">
        <v>461</v>
      </c>
      <c r="D43" s="6">
        <v>100.48</v>
      </c>
      <c r="E43" s="6">
        <v>0.001</v>
      </c>
      <c r="F43" s="6">
        <v>0</v>
      </c>
      <c r="G43" s="6">
        <v>0</v>
      </c>
      <c r="H43" s="6">
        <v>121663341</v>
      </c>
      <c r="I43" s="6">
        <v>0.0323</v>
      </c>
      <c r="J43" s="6">
        <v>0</v>
      </c>
      <c r="K43" s="6">
        <v>0</v>
      </c>
      <c r="L43" s="6">
        <v>37430900</v>
      </c>
      <c r="M43" s="6">
        <v>3761333821</v>
      </c>
      <c r="N43" s="6">
        <v>239548166.2</v>
      </c>
      <c r="O43" s="5" t="s">
        <v>462</v>
      </c>
      <c r="P43" s="6"/>
      <c r="Q43" s="6"/>
      <c r="R43" s="6">
        <v>0</v>
      </c>
      <c r="S43" s="5" t="s">
        <v>463</v>
      </c>
      <c r="T43" s="5" t="s">
        <v>464</v>
      </c>
      <c r="U43" s="6"/>
      <c r="V43" s="6"/>
      <c r="W43" s="5" t="s">
        <v>361</v>
      </c>
    </row>
    <row r="44" spans="1:23">
      <c r="A44" s="4" t="s">
        <v>465</v>
      </c>
      <c r="B44" s="5" t="s">
        <v>356</v>
      </c>
      <c r="C44" s="5" t="s">
        <v>466</v>
      </c>
      <c r="D44" s="6">
        <v>114.16</v>
      </c>
      <c r="E44" s="6">
        <v>-0.01</v>
      </c>
      <c r="F44" s="6">
        <v>-0.0001</v>
      </c>
      <c r="G44" s="6">
        <v>0</v>
      </c>
      <c r="H44" s="6">
        <v>20342686</v>
      </c>
      <c r="I44" s="6">
        <v>0.0115</v>
      </c>
      <c r="J44" s="6">
        <v>0.0002</v>
      </c>
      <c r="K44" s="6">
        <v>0.0057</v>
      </c>
      <c r="L44" s="6">
        <v>15497484</v>
      </c>
      <c r="M44" s="6">
        <v>1769234617</v>
      </c>
      <c r="N44" s="6">
        <v>-443228.0424</v>
      </c>
      <c r="O44" s="5" t="s">
        <v>176</v>
      </c>
      <c r="P44" s="6">
        <v>290000</v>
      </c>
      <c r="Q44" s="6">
        <v>1.906955812</v>
      </c>
      <c r="R44" s="6">
        <v>0</v>
      </c>
      <c r="S44" s="5" t="s">
        <v>467</v>
      </c>
      <c r="T44" s="5" t="s">
        <v>468</v>
      </c>
      <c r="U44" s="6"/>
      <c r="V44" s="6"/>
      <c r="W44" s="5" t="s">
        <v>391</v>
      </c>
    </row>
    <row r="45" spans="1:23">
      <c r="A45" s="4" t="s">
        <v>469</v>
      </c>
      <c r="B45" s="5" t="s">
        <v>356</v>
      </c>
      <c r="C45" s="5" t="s">
        <v>470</v>
      </c>
      <c r="D45" s="6">
        <v>13.296</v>
      </c>
      <c r="E45" s="6">
        <v>0.195</v>
      </c>
      <c r="F45" s="6">
        <v>0.0149</v>
      </c>
      <c r="G45" s="6">
        <v>0.0008</v>
      </c>
      <c r="H45" s="6">
        <v>11247800559</v>
      </c>
      <c r="I45" s="6">
        <v>0.1892</v>
      </c>
      <c r="J45" s="6">
        <v>-0.0026</v>
      </c>
      <c r="K45" s="6">
        <v>0.1485</v>
      </c>
      <c r="L45" s="6">
        <v>4507686700</v>
      </c>
      <c r="M45" s="6">
        <v>59103435704</v>
      </c>
      <c r="N45" s="6">
        <v>-114495242.2</v>
      </c>
      <c r="O45" s="5" t="s">
        <v>163</v>
      </c>
      <c r="P45" s="6">
        <v>1186800000</v>
      </c>
      <c r="Q45" s="6">
        <v>35.73744326</v>
      </c>
      <c r="R45" s="6">
        <v>13.2854</v>
      </c>
      <c r="S45" s="5" t="s">
        <v>471</v>
      </c>
      <c r="T45" s="5" t="s">
        <v>472</v>
      </c>
      <c r="U45" s="6"/>
      <c r="V45" s="6"/>
      <c r="W45" s="5" t="s">
        <v>361</v>
      </c>
    </row>
    <row r="46" spans="1:23">
      <c r="A46" s="4" t="s">
        <v>473</v>
      </c>
      <c r="B46" s="5" t="s">
        <v>356</v>
      </c>
      <c r="C46" s="5" t="s">
        <v>474</v>
      </c>
      <c r="D46" s="6">
        <v>116.59</v>
      </c>
      <c r="E46" s="6">
        <v>-0.13</v>
      </c>
      <c r="F46" s="6">
        <v>-0.0011</v>
      </c>
      <c r="G46" s="6">
        <v>0</v>
      </c>
      <c r="H46" s="6">
        <v>6590976</v>
      </c>
      <c r="I46" s="6">
        <v>0.0044</v>
      </c>
      <c r="J46" s="6">
        <v>-0.0034</v>
      </c>
      <c r="K46" s="6">
        <v>-0.0024</v>
      </c>
      <c r="L46" s="6">
        <v>12887500</v>
      </c>
      <c r="M46" s="6">
        <v>1504468708</v>
      </c>
      <c r="N46" s="6">
        <v>-1542633.75</v>
      </c>
      <c r="O46" s="5" t="s">
        <v>379</v>
      </c>
      <c r="P46" s="6">
        <v>-1845000</v>
      </c>
      <c r="Q46" s="6">
        <v>-12.52333277</v>
      </c>
      <c r="R46" s="6">
        <v>0</v>
      </c>
      <c r="S46" s="5" t="s">
        <v>475</v>
      </c>
      <c r="T46" s="5" t="s">
        <v>476</v>
      </c>
      <c r="U46" s="6"/>
      <c r="V46" s="6"/>
      <c r="W46" s="5" t="s">
        <v>361</v>
      </c>
    </row>
    <row r="47" spans="1:23">
      <c r="A47" s="4" t="s">
        <v>477</v>
      </c>
      <c r="B47" s="5" t="s">
        <v>356</v>
      </c>
      <c r="C47" s="5" t="s">
        <v>478</v>
      </c>
      <c r="D47" s="6">
        <v>116.04</v>
      </c>
      <c r="E47" s="6">
        <v>-0.09</v>
      </c>
      <c r="F47" s="6">
        <v>-0.0008</v>
      </c>
      <c r="G47" s="6">
        <v>0</v>
      </c>
      <c r="H47" s="6">
        <v>211727225</v>
      </c>
      <c r="I47" s="6">
        <v>0.0575</v>
      </c>
      <c r="J47" s="6">
        <v>-0.0016</v>
      </c>
      <c r="K47" s="6">
        <v>0.002</v>
      </c>
      <c r="L47" s="6">
        <v>31725910</v>
      </c>
      <c r="M47" s="6">
        <v>3688114829</v>
      </c>
      <c r="N47" s="6">
        <v>-2988580.722</v>
      </c>
      <c r="O47" s="5" t="s">
        <v>176</v>
      </c>
      <c r="P47" s="6">
        <v>-2150000</v>
      </c>
      <c r="Q47" s="6">
        <v>-6.346692974</v>
      </c>
      <c r="R47" s="6">
        <v>0</v>
      </c>
      <c r="S47" s="5" t="s">
        <v>479</v>
      </c>
      <c r="T47" s="5" t="s">
        <v>480</v>
      </c>
      <c r="U47" s="6"/>
      <c r="V47" s="6"/>
      <c r="W47" s="5" t="s">
        <v>391</v>
      </c>
    </row>
    <row r="48" spans="1:23">
      <c r="A48" s="4" t="s">
        <v>133</v>
      </c>
      <c r="B48" s="5" t="s">
        <v>356</v>
      </c>
      <c r="C48" s="5" t="s">
        <v>481</v>
      </c>
      <c r="D48" s="6">
        <v>99.3</v>
      </c>
      <c r="E48" s="6">
        <v>-0.17</v>
      </c>
      <c r="F48" s="6">
        <v>-0.0017</v>
      </c>
      <c r="G48" s="6">
        <v>0</v>
      </c>
      <c r="H48" s="6">
        <v>134299560</v>
      </c>
      <c r="I48" s="6">
        <v>0.0451</v>
      </c>
      <c r="J48" s="6">
        <v>-0.0032</v>
      </c>
      <c r="K48" s="6">
        <v>0</v>
      </c>
      <c r="L48" s="6">
        <v>29937356</v>
      </c>
      <c r="M48" s="6">
        <v>2986110555</v>
      </c>
      <c r="N48" s="6">
        <v>-101026106.5</v>
      </c>
      <c r="O48" s="5" t="s">
        <v>198</v>
      </c>
      <c r="P48" s="6"/>
      <c r="Q48" s="6"/>
      <c r="R48" s="6">
        <v>0</v>
      </c>
      <c r="S48" s="5" t="s">
        <v>482</v>
      </c>
      <c r="T48" s="5" t="s">
        <v>483</v>
      </c>
      <c r="U48" s="6"/>
      <c r="V48" s="6"/>
      <c r="W48" s="5" t="s">
        <v>391</v>
      </c>
    </row>
    <row r="49" spans="1:23">
      <c r="A49" s="4" t="s">
        <v>484</v>
      </c>
      <c r="B49" s="5" t="s">
        <v>356</v>
      </c>
      <c r="C49" s="5" t="s">
        <v>485</v>
      </c>
      <c r="D49" s="6">
        <v>99.91</v>
      </c>
      <c r="E49" s="6">
        <v>-0.01</v>
      </c>
      <c r="F49" s="6">
        <v>-0.0001</v>
      </c>
      <c r="G49" s="6">
        <v>0</v>
      </c>
      <c r="H49" s="6">
        <v>2512217112</v>
      </c>
      <c r="I49" s="6">
        <v>1.1821</v>
      </c>
      <c r="J49" s="6">
        <v>0</v>
      </c>
      <c r="K49" s="6">
        <v>0</v>
      </c>
      <c r="L49" s="6">
        <v>21267093</v>
      </c>
      <c r="M49" s="6">
        <v>2124939878</v>
      </c>
      <c r="N49" s="6">
        <v>-844303.5921</v>
      </c>
      <c r="O49" s="5" t="s">
        <v>486</v>
      </c>
      <c r="P49" s="6"/>
      <c r="Q49" s="6"/>
      <c r="R49" s="6">
        <v>0</v>
      </c>
      <c r="S49" s="5" t="s">
        <v>482</v>
      </c>
      <c r="T49" s="5" t="s">
        <v>483</v>
      </c>
      <c r="U49" s="6"/>
      <c r="V49" s="6"/>
      <c r="W49" s="5" t="s">
        <v>391</v>
      </c>
    </row>
    <row r="50" spans="1:23">
      <c r="A50" s="4" t="s">
        <v>111</v>
      </c>
      <c r="B50" s="5" t="s">
        <v>356</v>
      </c>
      <c r="C50" s="5" t="s">
        <v>112</v>
      </c>
      <c r="D50" s="6">
        <v>100.13</v>
      </c>
      <c r="E50" s="6">
        <v>-0.14</v>
      </c>
      <c r="F50" s="6">
        <v>-0.0014</v>
      </c>
      <c r="G50" s="6">
        <v>0</v>
      </c>
      <c r="H50" s="6">
        <v>3554847685</v>
      </c>
      <c r="I50" s="6">
        <v>0.2704</v>
      </c>
      <c r="J50" s="6">
        <v>-0.0045</v>
      </c>
      <c r="K50" s="6">
        <v>0</v>
      </c>
      <c r="L50" s="6">
        <v>131167657</v>
      </c>
      <c r="M50" s="6">
        <v>13205002183</v>
      </c>
      <c r="N50" s="6">
        <v>-7843825.889</v>
      </c>
      <c r="O50" s="5" t="s">
        <v>165</v>
      </c>
      <c r="P50" s="6"/>
      <c r="Q50" s="6"/>
      <c r="R50" s="6">
        <v>0</v>
      </c>
      <c r="S50" s="5" t="s">
        <v>487</v>
      </c>
      <c r="T50" s="5" t="s">
        <v>488</v>
      </c>
      <c r="U50" s="6"/>
      <c r="V50" s="6"/>
      <c r="W50" s="5" t="s">
        <v>391</v>
      </c>
    </row>
    <row r="51" spans="1:23">
      <c r="A51" s="4" t="s">
        <v>489</v>
      </c>
      <c r="B51" s="5" t="s">
        <v>356</v>
      </c>
      <c r="C51" s="5" t="s">
        <v>490</v>
      </c>
      <c r="D51" s="6">
        <v>100.33</v>
      </c>
      <c r="E51" s="6">
        <v>-0.16</v>
      </c>
      <c r="F51" s="6">
        <v>-0.0016</v>
      </c>
      <c r="G51" s="6">
        <v>0</v>
      </c>
      <c r="H51" s="6">
        <v>895561228</v>
      </c>
      <c r="I51" s="6">
        <v>0.0721</v>
      </c>
      <c r="J51" s="6">
        <v>-0.0052</v>
      </c>
      <c r="K51" s="6">
        <v>0</v>
      </c>
      <c r="L51" s="6">
        <v>123674202</v>
      </c>
      <c r="M51" s="6">
        <v>12480384216</v>
      </c>
      <c r="N51" s="6">
        <v>-7420452.12</v>
      </c>
      <c r="O51" s="5" t="s">
        <v>453</v>
      </c>
      <c r="P51" s="6"/>
      <c r="Q51" s="6"/>
      <c r="R51" s="6">
        <v>0</v>
      </c>
      <c r="S51" s="5" t="s">
        <v>487</v>
      </c>
      <c r="T51" s="5" t="s">
        <v>488</v>
      </c>
      <c r="U51" s="6"/>
      <c r="V51" s="6"/>
      <c r="W51" s="5" t="s">
        <v>391</v>
      </c>
    </row>
    <row r="52" spans="1:23">
      <c r="A52" s="4" t="s">
        <v>491</v>
      </c>
      <c r="B52" s="5" t="s">
        <v>356</v>
      </c>
      <c r="C52" s="5" t="s">
        <v>492</v>
      </c>
      <c r="D52" s="6">
        <v>100.27</v>
      </c>
      <c r="E52" s="6">
        <v>-0.07</v>
      </c>
      <c r="F52" s="6">
        <v>-0.0007</v>
      </c>
      <c r="G52" s="6">
        <v>0</v>
      </c>
      <c r="H52" s="6">
        <v>5339502867</v>
      </c>
      <c r="I52" s="6">
        <v>0.5249</v>
      </c>
      <c r="J52" s="6">
        <v>-0.0045</v>
      </c>
      <c r="K52" s="6">
        <v>0</v>
      </c>
      <c r="L52" s="6">
        <v>101402310</v>
      </c>
      <c r="M52" s="6">
        <v>10220450367</v>
      </c>
      <c r="N52" s="6">
        <v>-3691044.084</v>
      </c>
      <c r="O52" s="5" t="s">
        <v>459</v>
      </c>
      <c r="P52" s="6"/>
      <c r="Q52" s="6"/>
      <c r="R52" s="6">
        <v>0</v>
      </c>
      <c r="S52" s="5" t="s">
        <v>487</v>
      </c>
      <c r="T52" s="5" t="s">
        <v>488</v>
      </c>
      <c r="U52" s="6"/>
      <c r="V52" s="6"/>
      <c r="W52" s="5" t="s">
        <v>391</v>
      </c>
    </row>
    <row r="53" spans="1:23">
      <c r="A53" s="4" t="s">
        <v>493</v>
      </c>
      <c r="B53" s="5" t="s">
        <v>356</v>
      </c>
      <c r="C53" s="5" t="s">
        <v>494</v>
      </c>
      <c r="D53" s="6">
        <v>100.27</v>
      </c>
      <c r="E53" s="6">
        <v>-0.13</v>
      </c>
      <c r="F53" s="6">
        <v>-0.0013</v>
      </c>
      <c r="G53" s="6">
        <v>0</v>
      </c>
      <c r="H53" s="6">
        <v>1983510988</v>
      </c>
      <c r="I53" s="6">
        <v>0.1858</v>
      </c>
      <c r="J53" s="6">
        <v>-0.0049</v>
      </c>
      <c r="K53" s="6">
        <v>0</v>
      </c>
      <c r="L53" s="6">
        <v>106411129</v>
      </c>
      <c r="M53" s="6">
        <v>10728816953</v>
      </c>
      <c r="N53" s="6">
        <v>-228080102.1</v>
      </c>
      <c r="O53" s="5" t="s">
        <v>163</v>
      </c>
      <c r="P53" s="6"/>
      <c r="Q53" s="6"/>
      <c r="R53" s="6">
        <v>0</v>
      </c>
      <c r="S53" s="5" t="s">
        <v>487</v>
      </c>
      <c r="T53" s="5" t="s">
        <v>488</v>
      </c>
      <c r="U53" s="6"/>
      <c r="V53" s="6"/>
      <c r="W53" s="5" t="s">
        <v>391</v>
      </c>
    </row>
    <row r="54" spans="1:23">
      <c r="A54" s="7" t="s">
        <v>495</v>
      </c>
      <c r="B54" s="8" t="s">
        <v>356</v>
      </c>
      <c r="C54" s="8" t="s">
        <v>496</v>
      </c>
      <c r="D54" s="9">
        <v>139.8</v>
      </c>
      <c r="E54" s="9">
        <v>-0.12</v>
      </c>
      <c r="F54" s="9">
        <v>-0.0008</v>
      </c>
      <c r="G54" s="9">
        <v>0</v>
      </c>
      <c r="H54" s="9">
        <v>239540100</v>
      </c>
      <c r="I54" s="9">
        <v>0.1037</v>
      </c>
      <c r="J54" s="9">
        <v>-0.0027</v>
      </c>
      <c r="K54" s="9">
        <v>0.0003</v>
      </c>
      <c r="L54" s="9">
        <v>16516300</v>
      </c>
      <c r="M54" s="9">
        <v>2311340571</v>
      </c>
      <c r="N54" s="9">
        <v>-61818050.8</v>
      </c>
      <c r="O54" s="8" t="s">
        <v>210</v>
      </c>
      <c r="P54" s="9">
        <v>1090000</v>
      </c>
      <c r="Q54" s="9">
        <v>7.065855066</v>
      </c>
      <c r="R54" s="9">
        <v>139.8</v>
      </c>
      <c r="S54" s="8" t="s">
        <v>497</v>
      </c>
      <c r="T54" s="8" t="s">
        <v>498</v>
      </c>
      <c r="U54" s="9"/>
      <c r="V54" s="9"/>
      <c r="W54" s="8" t="s">
        <v>361</v>
      </c>
    </row>
    <row r="55" spans="1:23">
      <c r="A55" s="10"/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0"/>
      <c r="P55" s="11"/>
      <c r="Q55" s="11"/>
      <c r="R55" s="11"/>
      <c r="S55" s="10"/>
      <c r="T55" s="10"/>
      <c r="U55" s="11"/>
      <c r="V55" s="11"/>
      <c r="W55" s="10"/>
    </row>
    <row r="56" spans="1:23">
      <c r="A56" s="12" t="s">
        <v>499</v>
      </c>
      <c r="B56" s="12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0"/>
      <c r="P56" s="11"/>
      <c r="Q56" s="11"/>
      <c r="R56" s="11"/>
      <c r="S56" s="10"/>
      <c r="T56" s="10"/>
      <c r="U56" s="11"/>
      <c r="V56" s="11"/>
      <c r="W56" s="10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"/>
  <sheetViews>
    <sheetView workbookViewId="0">
      <selection activeCell="G4" sqref="G4"/>
    </sheetView>
  </sheetViews>
  <sheetFormatPr defaultColWidth="9" defaultRowHeight="13.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"/>
  <sheetViews>
    <sheetView workbookViewId="0">
      <selection activeCell="G4" sqref="G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511260簿记</vt:lpstr>
      <vt:lpstr>债基对冲端</vt:lpstr>
      <vt:lpstr>科创债对接</vt:lpstr>
      <vt:lpstr>补券规则</vt:lpstr>
      <vt:lpstr>科创债券池</vt:lpstr>
      <vt:lpstr>A500</vt:lpstr>
      <vt:lpstr>科创债ETF</vt:lpstr>
      <vt:lpstr>用资划转记录</vt:lpstr>
      <vt:lpstr>REITs</vt:lpstr>
      <vt:lpstr>科创债</vt:lpstr>
      <vt:lpstr>data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biyy</dc:creator>
  <cp:lastModifiedBy>biyy</cp:lastModifiedBy>
  <dcterms:created xsi:type="dcterms:W3CDTF">2025-06-05T07:15:00Z</dcterms:created>
  <dcterms:modified xsi:type="dcterms:W3CDTF">2026-02-27T10:06:48Z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6DDC021057B4407F839F225B646EF855</vt:lpwstr>
  </property>
  <property fmtid="{D5CDD505-2E9C-101B-9397-08002B2CF9AE}" pid="3" name="KSOProductBuildVer">
    <vt:lpwstr>2052-11.8.2.11978</vt:lpwstr>
  </property>
</Properties>
</file>